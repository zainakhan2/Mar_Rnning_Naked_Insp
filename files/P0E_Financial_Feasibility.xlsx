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0E.01 Unit Economics" sheetId="2" state="visible" r:id="rId2"/>
    <sheet xmlns:r="http://schemas.openxmlformats.org/officeDocument/2006/relationships" name="0E.02 Cash Flow" sheetId="3" state="visible" r:id="rId3"/>
    <sheet xmlns:r="http://schemas.openxmlformats.org/officeDocument/2006/relationships" name="0E.03 Breakeven" sheetId="4" state="visible" r:id="rId4"/>
    <sheet xmlns:r="http://schemas.openxmlformats.org/officeDocument/2006/relationships" name="0E.04 Budget Allocation" sheetId="5" state="visible" r:id="rId5"/>
    <sheet xmlns:r="http://schemas.openxmlformats.org/officeDocument/2006/relationships" name="0E.05 Revenue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5090"/>
      <sz val="10"/>
    </font>
    <font>
      <name val="Arial"/>
      <b val="1"/>
      <color rgb="FFCC0000"/>
      <sz val="9"/>
    </font>
    <font>
      <name val="Arial"/>
      <b val="1"/>
      <color rgb="FFFFFFFF"/>
      <sz val="9"/>
    </font>
    <font>
      <name val="Arial"/>
      <b val="1"/>
      <color rgb="FF2E7D32"/>
      <sz val="9"/>
    </font>
  </fonts>
  <fills count="9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center"/>
    </xf>
    <xf numFmtId="164" fontId="4" fillId="4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165" fontId="4" fillId="8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165" fontId="7" fillId="8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6" customWidth="1" min="4" max="4"/>
    <col width="14" customWidth="1" min="5" max="5"/>
    <col width="50" customWidth="1" min="6" max="6"/>
  </cols>
  <sheetData>
    <row r="1" ht="28" customHeight="1">
      <c r="A1" s="1" t="inlineStr">
        <is>
          <t>P0E FINANCIAL FEASIBILITY — EXECUTIVE SUMMARY</t>
        </is>
      </c>
    </row>
    <row r="2" ht="20" customHeight="1">
      <c r="A2" s="2" t="inlineStr">
        <is>
          <t>5 Tasks  |  ALL COMPLETE  |  $10K Bootstrap  |  Retail: $34.99  |  COGS: $6.50  |  Breakeven: Month 5</t>
        </is>
      </c>
    </row>
    <row r="3" ht="24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 Target</t>
        </is>
      </c>
      <c r="D3" s="3" t="inlineStr">
        <is>
          <t>Actual</t>
        </is>
      </c>
      <c r="E3" s="3" t="inlineStr">
        <is>
          <t>Status</t>
        </is>
      </c>
      <c r="F3" s="3" t="inlineStr">
        <is>
          <t>Key Finding / Number</t>
        </is>
      </c>
    </row>
    <row r="4" ht="68" customHeight="1">
      <c r="A4" s="4" t="inlineStr">
        <is>
          <t>0E.01</t>
        </is>
      </c>
      <c r="B4" s="5" t="inlineStr">
        <is>
          <t>Build unit economics model: COGS + shipping + packaging + fees + CAC</t>
        </is>
      </c>
      <c r="C4" s="5" t="inlineStr">
        <is>
          <t>Positive contribution margin</t>
        </is>
      </c>
      <c r="D4" s="5" t="inlineStr">
        <is>
          <t>$11.84 net contribution/unit</t>
        </is>
      </c>
      <c r="E4" s="6" t="inlineStr">
        <is>
          <t>COMPLETE ✓</t>
        </is>
      </c>
      <c r="F4" s="5" t="inlineStr">
        <is>
          <t>Revenue/unit: $34.99. COGS: $6.50 (18.6%). Packaging: $0.55 (1.6%). Shipping: $4.50 (12.9%). Fees: $1.60 (4.6%). Gross profit: $21.84 (62.4%). After $10 blended CAC: $11.84 net contribution (33.8%).</t>
        </is>
      </c>
    </row>
    <row r="5" ht="68" customHeight="1">
      <c r="A5" s="7" t="inlineStr">
        <is>
          <t>0E.02</t>
        </is>
      </c>
      <c r="B5" s="8" t="inlineStr">
        <is>
          <t>Build 6-month cash flow projection week by week</t>
        </is>
      </c>
      <c r="C5" s="8" t="inlineStr">
        <is>
          <t>6 months projected</t>
        </is>
      </c>
      <c r="D5" s="8" t="inlineStr">
        <is>
          <t>26-week model built</t>
        </is>
      </c>
      <c r="E5" s="6" t="inlineStr">
        <is>
          <t>COMPLETE ✓</t>
        </is>
      </c>
      <c r="F5" s="8" t="inlineStr">
        <is>
          <t>Starting cash: $10,000. Lowest cash point: $1,847 (Week 10, post-inventory purchase). Cash positive by Week 16. Month 6 ending cash: $5,267. Never goes negative — the business is financially viable on $10K.</t>
        </is>
      </c>
    </row>
    <row r="6" ht="68" customHeight="1">
      <c r="A6" s="4" t="inlineStr">
        <is>
          <t>0E.03</t>
        </is>
      </c>
      <c r="B6" s="5" t="inlineStr">
        <is>
          <t>Calculate breakeven units</t>
        </is>
      </c>
      <c r="C6" s="5" t="inlineStr">
        <is>
          <t>Breakeven unit count known</t>
        </is>
      </c>
      <c r="D6" s="5" t="inlineStr">
        <is>
          <t>Multiple breakeven points calc'd</t>
        </is>
      </c>
      <c r="E6" s="6" t="inlineStr">
        <is>
          <t>COMPLETE ✓</t>
        </is>
      </c>
      <c r="F6" s="5" t="inlineStr">
        <is>
          <t>Breakeven on COGS only: 457 units ($15,977 revenue). Breakeven with full CAC: 845 units ($29,567). Breakeven on $10K investment: Month 5 in moderate scenario (cumulative profit exceeds startup costs).</t>
        </is>
      </c>
    </row>
    <row r="7" ht="68" customHeight="1">
      <c r="A7" s="7" t="inlineStr">
        <is>
          <t>0E.04</t>
        </is>
      </c>
      <c r="B7" s="8" t="inlineStr">
        <is>
          <t>Define budget allocation across all projects</t>
        </is>
      </c>
      <c r="C7" s="8" t="inlineStr">
        <is>
          <t>$10K fully allocated</t>
        </is>
      </c>
      <c r="D7" s="8" t="inlineStr">
        <is>
          <t>13-project allocation complete</t>
        </is>
      </c>
      <c r="E7" s="6" t="inlineStr">
        <is>
          <t>COMPLETE ✓</t>
        </is>
      </c>
      <c r="F7" s="8" t="inlineStr">
        <is>
          <t>Product/inventory: $3,500 (35%). Marketing/influencers: $2,000 (20%). E-commerce/tech: $500 (5%). Legal/IP: $600 (6%). Events: $400 (4%). Contingency: $3,000 (30%). Every dollar mapped to a specific project.</t>
        </is>
      </c>
    </row>
    <row r="8" ht="68" customHeight="1">
      <c r="A8" s="4" t="inlineStr">
        <is>
          <t>0E.05</t>
        </is>
      </c>
      <c r="B8" s="5" t="inlineStr">
        <is>
          <t>Set 6-month revenue targets: 3 scenarios</t>
        </is>
      </c>
      <c r="C8" s="5" t="inlineStr">
        <is>
          <t>3 scenarios modeled</t>
        </is>
      </c>
      <c r="D8" s="5" t="inlineStr">
        <is>
          <t>Conservative/Moderate/Aggressive</t>
        </is>
      </c>
      <c r="E8" s="6" t="inlineStr">
        <is>
          <t>COMPLETE ✓</t>
        </is>
      </c>
      <c r="F8" s="5" t="inlineStr">
        <is>
          <t>Conservative: $11,549 (330 units). Moderate: $19,594 (560 units). Aggressive: $31,490 (900 units). All scenarios survive on $10K. Moderate is the planning target — break even Month 5.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34" customWidth="1" min="5" max="5"/>
  </cols>
  <sheetData>
    <row r="1" ht="28" customHeight="1">
      <c r="A1" s="1" t="inlineStr">
        <is>
          <t>TASK 0E.01: UNIT ECONOMICS MODEL — COMPLETE P&amp;L PER UNIT SOLD</t>
        </is>
      </c>
    </row>
    <row r="2" ht="20" customHeight="1">
      <c r="A2" s="2" t="inlineStr">
        <is>
          <t>KPI: Positive contribution  |  STATUS: COMPLETE  |  Net Contribution: $11.84/unit (33.8%)</t>
        </is>
      </c>
    </row>
    <row r="3" ht="24" customHeight="1">
      <c r="A3" s="3" t="inlineStr">
        <is>
          <t>Line Item</t>
        </is>
      </c>
      <c r="B3" s="3" t="inlineStr">
        <is>
          <t>Amount</t>
        </is>
      </c>
      <c r="C3" s="3" t="inlineStr">
        <is>
          <t>% of Revenue</t>
        </is>
      </c>
      <c r="D3" s="3" t="inlineStr">
        <is>
          <t>Calculation Basis</t>
        </is>
      </c>
      <c r="E3" s="3" t="inlineStr">
        <is>
          <t>Benchmark / Notes</t>
        </is>
      </c>
    </row>
    <row r="4" ht="22" customHeight="1">
      <c r="A4" s="9" t="inlineStr">
        <is>
          <t>REVENUE</t>
        </is>
      </c>
    </row>
    <row r="5" ht="28" customHeight="1">
      <c r="A5" s="4" t="inlineStr">
        <is>
          <t>Retail Price (Shopify D2C)</t>
        </is>
      </c>
      <c r="B5" s="10" t="n">
        <v>34.99</v>
      </c>
      <c r="C5" s="4" t="inlineStr">
        <is>
          <t>100.0%</t>
        </is>
      </c>
      <c r="D5" s="4" t="inlineStr">
        <is>
          <t>Set price</t>
        </is>
      </c>
      <c r="E5" s="4" t="inlineStr">
        <is>
          <t>Above SPIbelt ($24.99), below Naked ($55). Value/mid sweet spot per P0A pricing analysis.</t>
        </is>
      </c>
    </row>
    <row r="6" ht="28" customHeight="1">
      <c r="A6" s="8" t="inlineStr"/>
      <c r="B6" s="8" t="inlineStr"/>
      <c r="C6" s="8" t="inlineStr"/>
      <c r="D6" s="8" t="inlineStr"/>
      <c r="E6" s="8" t="inlineStr"/>
    </row>
    <row r="7" ht="22" customHeight="1">
      <c r="A7" s="9" t="inlineStr">
        <is>
          <t>COST OF GOODS SOLD</t>
        </is>
      </c>
    </row>
    <row r="8" ht="28" customHeight="1">
      <c r="A8" s="8" t="inlineStr">
        <is>
          <t xml:space="preserve">  Main body fabric (80/20 nylon-spandex mesh 220 GSM)</t>
        </is>
      </c>
      <c r="B8" s="11" t="n">
        <v>1.8</v>
      </c>
      <c r="C8" s="8" t="inlineStr">
        <is>
          <t>5.1%</t>
        </is>
      </c>
      <c r="D8" s="8" t="inlineStr">
        <is>
          <t>0.25 m² × $7.20/m²</t>
        </is>
      </c>
      <c r="E8" s="8" t="inlineStr">
        <is>
          <t>4-way stretch mesh, breathable, quick-dry. Premium vs budget ($4-5/m²).</t>
        </is>
      </c>
    </row>
    <row r="9" ht="28" customHeight="1">
      <c r="A9" s="5" t="inlineStr">
        <is>
          <t xml:space="preserve">  Interior lining (polyester mesh)</t>
        </is>
      </c>
      <c r="B9" s="12" t="n">
        <v>0.4</v>
      </c>
      <c r="C9" s="5" t="inlineStr">
        <is>
          <t>1.1%</t>
        </is>
      </c>
      <c r="D9" s="5" t="inlineStr">
        <is>
          <t>0.15 m² × $2.70/m²</t>
        </is>
      </c>
      <c r="E9" s="5" t="inlineStr">
        <is>
          <t>Moisture-wicking body-contact layer.</t>
        </is>
      </c>
    </row>
    <row r="10" ht="28" customHeight="1">
      <c r="A10" s="8" t="inlineStr">
        <is>
          <t xml:space="preserve">  YKK #3 Nylon Coil zippers × 2</t>
        </is>
      </c>
      <c r="B10" s="11" t="n">
        <v>0.6</v>
      </c>
      <c r="C10" s="8" t="inlineStr">
        <is>
          <t>1.7%</t>
        </is>
      </c>
      <c r="D10" s="8" t="inlineStr">
        <is>
          <t>2 × $0.30 each</t>
        </is>
      </c>
      <c r="E10" s="8" t="inlineStr">
        <is>
          <t>YKK brand specifically — non-negotiable per P0A review analysis.</t>
        </is>
      </c>
    </row>
    <row r="11" ht="28" customHeight="1">
      <c r="A11" s="5" t="inlineStr">
        <is>
          <t xml:space="preserve">  Duraflex buckle + 30cm nylon webbing</t>
        </is>
      </c>
      <c r="B11" s="12" t="n">
        <v>0.45</v>
      </c>
      <c r="C11" s="5" t="inlineStr">
        <is>
          <t>1.3%</t>
        </is>
      </c>
      <c r="D11" s="5" t="inlineStr">
        <is>
          <t>$0.30 buckle + $0.15 webbing</t>
        </is>
      </c>
      <c r="E11" s="5" t="inlineStr">
        <is>
          <t>20mm quick-release side-squeeze. Duraflex or equivalent quality.</t>
        </is>
      </c>
    </row>
    <row r="12" ht="28" customHeight="1">
      <c r="A12" s="8" t="inlineStr">
        <is>
          <t xml:space="preserve">  Elastic gel loops, bib toggles, key clip, snap-tab</t>
        </is>
      </c>
      <c r="B12" s="11" t="n">
        <v>0.25</v>
      </c>
      <c r="C12" s="8" t="inlineStr">
        <is>
          <t>0.7%</t>
        </is>
      </c>
      <c r="D12" s="8" t="inlineStr">
        <is>
          <t>Components bundle</t>
        </is>
      </c>
      <c r="E12" s="8" t="inlineStr">
        <is>
          <t>2 gel loops + 2 bib toggles + 1 retractable key clip + 1 snap closure.</t>
        </is>
      </c>
    </row>
    <row r="13" ht="28" customHeight="1">
      <c r="A13" s="5" t="inlineStr">
        <is>
          <t xml:space="preserve">  Silicone grip dots (screen-printed interior)</t>
        </is>
      </c>
      <c r="B13" s="12" t="n">
        <v>0.2</v>
      </c>
      <c r="C13" s="5" t="inlineStr">
        <is>
          <t>0.6%</t>
        </is>
      </c>
      <c r="D13" s="5" t="inlineStr">
        <is>
          <t>Screen print application</t>
        </is>
      </c>
      <c r="E13" s="5" t="inlineStr">
        <is>
          <t>3 rows of silicone dots prevent ride-up — addresses P0A complaint #8.</t>
        </is>
      </c>
    </row>
    <row r="14" ht="28" customHeight="1">
      <c r="A14" s="8" t="inlineStr">
        <is>
          <t xml:space="preserve">  3M Scotchlite reflective strips × 2</t>
        </is>
      </c>
      <c r="B14" s="11" t="n">
        <v>0.15</v>
      </c>
      <c r="C14" s="8" t="inlineStr">
        <is>
          <t>0.4%</t>
        </is>
      </c>
      <c r="D14" s="8" t="inlineStr">
        <is>
          <t>2 × heat-applied strips</t>
        </is>
      </c>
      <c r="E14" s="8" t="inlineStr">
        <is>
          <t>1" × 3" reflective elements for safety visibility.</t>
        </is>
      </c>
    </row>
    <row r="15" ht="28" customHeight="1">
      <c r="A15" s="5" t="inlineStr">
        <is>
          <t xml:space="preserve">  Thread, binding tape, labels, misc hardware</t>
        </is>
      </c>
      <c r="B15" s="12" t="n">
        <v>0.3</v>
      </c>
      <c r="C15" s="5" t="inlineStr">
        <is>
          <t>0.9%</t>
        </is>
      </c>
      <c r="D15" s="5" t="inlineStr">
        <is>
          <t>Bill of materials</t>
        </is>
      </c>
      <c r="E15" s="5" t="inlineStr">
        <is>
          <t>Flat-fold binding, care/size woven labels, brand labels, matching thread.</t>
        </is>
      </c>
    </row>
    <row r="16" ht="28" customHeight="1">
      <c r="A16" s="8" t="inlineStr">
        <is>
          <t xml:space="preserve">  Assembly labor</t>
        </is>
      </c>
      <c r="B16" s="11" t="n">
        <v>1.8</v>
      </c>
      <c r="C16" s="8" t="inlineStr">
        <is>
          <t>5.1%</t>
        </is>
      </c>
      <c r="D16" s="8" t="inlineStr">
        <is>
          <t>~15 min assembly time</t>
        </is>
      </c>
      <c r="E16" s="8" t="inlineStr">
        <is>
          <t>Based on Alibaba quotes for multi-pocket adjustable belt construction.</t>
        </is>
      </c>
    </row>
    <row r="17" ht="28" customHeight="1">
      <c r="A17" s="5" t="inlineStr">
        <is>
          <t xml:space="preserve">  QC inspection allocation</t>
        </is>
      </c>
      <c r="B17" s="12" t="n">
        <v>0.15</v>
      </c>
      <c r="C17" s="5" t="inlineStr">
        <is>
          <t>0.4%</t>
        </is>
      </c>
      <c r="D17" s="5" t="inlineStr">
        <is>
          <t>Amortized per unit</t>
        </is>
      </c>
      <c r="E17" s="5" t="inlineStr">
        <is>
          <t>Factory QC check allocation across batch.</t>
        </is>
      </c>
    </row>
    <row r="18" ht="28" customHeight="1">
      <c r="A18" s="8" t="inlineStr">
        <is>
          <t xml:space="preserve">  Poly bag + size sticker</t>
        </is>
      </c>
      <c r="B18" s="11" t="n">
        <v>0.1</v>
      </c>
      <c r="C18" s="8" t="inlineStr">
        <is>
          <t>0.3%</t>
        </is>
      </c>
      <c r="D18" s="8" t="inlineStr">
        <is>
          <t>Individual packaging</t>
        </is>
      </c>
      <c r="E18" s="8" t="inlineStr">
        <is>
          <t>Clear poly bag with printed size sticker for each unit.</t>
        </is>
      </c>
    </row>
    <row r="19" ht="28" customHeight="1">
      <c r="A19" s="5" t="inlineStr">
        <is>
          <t xml:space="preserve">  Factory margin &amp; overhead</t>
        </is>
      </c>
      <c r="B19" s="12" t="n">
        <v>0.3</v>
      </c>
      <c r="C19" s="5" t="inlineStr">
        <is>
          <t>0.9%</t>
        </is>
      </c>
      <c r="D19" s="5" t="inlineStr">
        <is>
          <t>Built into unit price</t>
        </is>
      </c>
      <c r="E19" s="5" t="inlineStr">
        <is>
          <t>Supplier's margin. Already negotiated into per-unit price.</t>
        </is>
      </c>
    </row>
    <row r="20" ht="24" customHeight="1">
      <c r="A20" s="6" t="inlineStr">
        <is>
          <t>TOTAL COGS</t>
        </is>
      </c>
      <c r="B20" s="13" t="n">
        <v>6.5</v>
      </c>
      <c r="C20" s="6" t="inlineStr">
        <is>
          <t>18.6%</t>
        </is>
      </c>
      <c r="D20" s="6" t="inlineStr">
        <is>
          <t>Sum of all material + labor + overhead</t>
        </is>
      </c>
      <c r="E20" s="6" t="inlineStr">
        <is>
          <t>Target confirmed via Alibaba supplier quotes at 300 MOQ.</t>
        </is>
      </c>
    </row>
    <row r="22" ht="22" customHeight="1">
      <c r="A22" s="9" t="inlineStr">
        <is>
          <t>PACKAGING &amp; FULFILLMENT PREP</t>
        </is>
      </c>
    </row>
    <row r="23" ht="28" customHeight="1">
      <c r="A23" s="5" t="inlineStr">
        <is>
          <t xml:space="preserve">  Branded recycled poly mailer</t>
        </is>
      </c>
      <c r="B23" s="12" t="n">
        <v>0.25</v>
      </c>
      <c r="C23" s="5" t="inlineStr">
        <is>
          <t>0.7%</t>
        </is>
      </c>
      <c r="D23" s="5" t="inlineStr">
        <is>
          <t>1-color logo on recycled kraft</t>
        </is>
      </c>
      <c r="E23" s="5" t="inlineStr">
        <is>
          <t>500 MOQ from packaging supplier.</t>
        </is>
      </c>
    </row>
    <row r="24" ht="28" customHeight="1">
      <c r="A24" s="8" t="inlineStr">
        <is>
          <t xml:space="preserve">  Hang tag (brand + care)</t>
        </is>
      </c>
      <c r="B24" s="11" t="n">
        <v>0.08</v>
      </c>
      <c r="C24" s="8" t="inlineStr">
        <is>
          <t>0.2%</t>
        </is>
      </c>
      <c r="D24" s="8" t="inlineStr">
        <is>
          <t>Kraft cardstock, 2-sided</t>
        </is>
      </c>
      <c r="E24" s="8" t="inlineStr">
        <is>
          <t>Brand story one side, care instructions other.</t>
        </is>
      </c>
    </row>
    <row r="25" ht="28" customHeight="1">
      <c r="A25" s="5" t="inlineStr">
        <is>
          <t xml:space="preserve">  Insert card (thank you + QR + discount)</t>
        </is>
      </c>
      <c r="B25" s="12" t="n">
        <v>0.05</v>
      </c>
      <c r="C25" s="5" t="inlineStr">
        <is>
          <t>0.1%</t>
        </is>
      </c>
      <c r="D25" s="5" t="inlineStr">
        <is>
          <t>4×6" 2-sided color print</t>
        </is>
      </c>
      <c r="E25" s="5" t="inlineStr">
        <is>
          <t>Review request QR + 10% off next order. #1 review generation tool.</t>
        </is>
      </c>
    </row>
    <row r="26" ht="28" customHeight="1">
      <c r="A26" s="8" t="inlineStr">
        <is>
          <t xml:space="preserve">  Size label + brand sticker + tissue</t>
        </is>
      </c>
      <c r="B26" s="11" t="n">
        <v>0.17</v>
      </c>
      <c r="C26" s="8" t="inlineStr">
        <is>
          <t>0.5%</t>
        </is>
      </c>
      <c r="D26" s="8" t="inlineStr">
        <is>
          <t>Bundle of small items</t>
        </is>
      </c>
      <c r="E26" s="8" t="inlineStr">
        <is>
          <t>Woven size label + circular sticker seal + tissue paper wrap.</t>
        </is>
      </c>
    </row>
    <row r="27" ht="24" customHeight="1">
      <c r="A27" s="6" t="inlineStr">
        <is>
          <t>TOTAL PACKAGING</t>
        </is>
      </c>
      <c r="B27" s="13" t="n">
        <v>0.55</v>
      </c>
      <c r="C27" s="6" t="inlineStr">
        <is>
          <t>1.6%</t>
        </is>
      </c>
      <c r="D27" s="6" t="inlineStr">
        <is>
          <t>Sum of packaging components</t>
        </is>
      </c>
      <c r="E27" s="6" t="inlineStr">
        <is>
          <t>Branded, eco-friendly unboxing experience.</t>
        </is>
      </c>
    </row>
    <row r="29" ht="22" customHeight="1">
      <c r="A29" s="9" t="inlineStr">
        <is>
          <t>COMPLETE UNIT ECONOMICS WATERFALL</t>
        </is>
      </c>
    </row>
    <row r="30" ht="26" customHeight="1">
      <c r="A30" s="6" t="inlineStr">
        <is>
          <t>RETAIL PRICE</t>
        </is>
      </c>
      <c r="B30" s="13" t="n">
        <v>34.99</v>
      </c>
      <c r="C30" s="6" t="inlineStr">
        <is>
          <t>100.0%</t>
        </is>
      </c>
      <c r="D30" s="6" t="inlineStr">
        <is>
          <t>Shopify D2C selling price</t>
        </is>
      </c>
      <c r="E30" s="6" t="inlineStr"/>
    </row>
    <row r="31" ht="26" customHeight="1">
      <c r="A31" s="5" t="inlineStr">
        <is>
          <t xml:space="preserve">  Less: COGS</t>
        </is>
      </c>
      <c r="B31" s="12" t="n">
        <v>-6.5</v>
      </c>
      <c r="C31" s="5" t="inlineStr">
        <is>
          <t>-18.6%</t>
        </is>
      </c>
      <c r="D31" s="5" t="inlineStr">
        <is>
          <t>All materials + labor + factory margin</t>
        </is>
      </c>
      <c r="E31" s="5" t="inlineStr"/>
    </row>
    <row r="32" ht="26" customHeight="1">
      <c r="A32" s="8" t="inlineStr">
        <is>
          <t xml:space="preserve">  Less: Packaging</t>
        </is>
      </c>
      <c r="B32" s="11" t="n">
        <v>-0.55</v>
      </c>
      <c r="C32" s="8" t="inlineStr">
        <is>
          <t>-1.6%</t>
        </is>
      </c>
      <c r="D32" s="8" t="inlineStr">
        <is>
          <t>Mailer + tag + insert + sticker + tissue</t>
        </is>
      </c>
      <c r="E32" s="8" t="inlineStr"/>
    </row>
    <row r="33" ht="26" customHeight="1">
      <c r="A33" s="6" t="inlineStr">
        <is>
          <t>GROSS PROFIT</t>
        </is>
      </c>
      <c r="B33" s="13" t="n">
        <v>27.94</v>
      </c>
      <c r="C33" s="6" t="inlineStr">
        <is>
          <t>79.9%</t>
        </is>
      </c>
      <c r="D33" s="6" t="inlineStr">
        <is>
          <t>Revenue - COGS - Packaging</t>
        </is>
      </c>
      <c r="E33" s="6" t="inlineStr">
        <is>
          <t>Top-tier margin for D2C accessories</t>
        </is>
      </c>
    </row>
    <row r="34" ht="26" customHeight="1">
      <c r="A34" s="8" t="inlineStr">
        <is>
          <t xml:space="preserve">  Less: Shipping to customer (US domestic)</t>
        </is>
      </c>
      <c r="B34" s="11" t="n">
        <v>-4.5</v>
      </c>
      <c r="C34" s="8" t="inlineStr">
        <is>
          <t>-12.9%</t>
        </is>
      </c>
      <c r="D34" s="8" t="inlineStr">
        <is>
          <t>USPS First Class (under 4oz total)</t>
        </is>
      </c>
      <c r="E34" s="8" t="inlineStr">
        <is>
          <t>Free shipping built into retail price</t>
        </is>
      </c>
    </row>
    <row r="35" ht="26" customHeight="1">
      <c r="A35" s="5" t="inlineStr">
        <is>
          <t xml:space="preserve">  Less: Shopify Payments (2.9% + $0.30)</t>
        </is>
      </c>
      <c r="B35" s="12" t="n">
        <v>-1.31</v>
      </c>
      <c r="C35" s="5" t="inlineStr">
        <is>
          <t>-3.7%</t>
        </is>
      </c>
      <c r="D35" s="5" t="inlineStr">
        <is>
          <t>$34.99 × 2.9% + $0.30</t>
        </is>
      </c>
      <c r="E35" s="5" t="inlineStr">
        <is>
          <t>Standard Shopify Payments processing</t>
        </is>
      </c>
    </row>
    <row r="36" ht="26" customHeight="1">
      <c r="A36" s="8" t="inlineStr">
        <is>
          <t xml:space="preserve">  Less: Shopify platform ($29/mo ÷ est. orders)</t>
        </is>
      </c>
      <c r="B36" s="11" t="n">
        <v>-0.29</v>
      </c>
      <c r="C36" s="8" t="inlineStr">
        <is>
          <t>-0.8%</t>
        </is>
      </c>
      <c r="D36" s="8" t="inlineStr">
        <is>
          <t>$29 ÷ 100 orders/mo at steady state</t>
        </is>
      </c>
      <c r="E36" s="8" t="inlineStr">
        <is>
          <t>Amortized. Lower volume = higher per-unit cost</t>
        </is>
      </c>
    </row>
    <row r="37" ht="26" customHeight="1">
      <c r="A37" s="6" t="inlineStr">
        <is>
          <t>CONTRIBUTION MARGIN (pre-marketing)</t>
        </is>
      </c>
      <c r="B37" s="13" t="n">
        <v>21.84</v>
      </c>
      <c r="C37" s="6" t="inlineStr">
        <is>
          <t>62.4%</t>
        </is>
      </c>
      <c r="D37" s="6" t="inlineStr">
        <is>
          <t>Gross profit - variable fulfillment costs</t>
        </is>
      </c>
      <c r="E37" s="6" t="inlineStr">
        <is>
          <t>This is your "money to spend on growth" per unit</t>
        </is>
      </c>
    </row>
    <row r="38" ht="26" customHeight="1">
      <c r="A38" s="8" t="inlineStr">
        <is>
          <t xml:space="preserve">  Less: Customer Acquisition Cost (blended)</t>
        </is>
      </c>
      <c r="B38" s="11" t="n">
        <v>-10</v>
      </c>
      <c r="C38" s="8" t="inlineStr">
        <is>
          <t>-28.6%</t>
        </is>
      </c>
      <c r="D38" s="8" t="inlineStr">
        <is>
          <t>40% organic ($0) + 60% paid ($16.67 avg)</t>
        </is>
      </c>
      <c r="E38" s="8" t="inlineStr">
        <is>
          <t>Blended CAC target. Organic lowers the average.</t>
        </is>
      </c>
    </row>
    <row r="39" ht="26" customHeight="1">
      <c r="A39" s="6" t="inlineStr">
        <is>
          <t>NET CONTRIBUTION PER UNIT</t>
        </is>
      </c>
      <c r="B39" s="13" t="n">
        <v>11.84</v>
      </c>
      <c r="C39" s="6" t="inlineStr">
        <is>
          <t>33.8%</t>
        </is>
      </c>
      <c r="D39" s="6" t="inlineStr">
        <is>
          <t>Contribution margin - CAC</t>
        </is>
      </c>
      <c r="E39" s="6" t="inlineStr">
        <is>
          <t>Healthy margin. Every unit sold generates $11.84 toward fixed costs + profit.</t>
        </is>
      </c>
    </row>
  </sheetData>
  <mergeCells count="6">
    <mergeCell ref="A29:E29"/>
    <mergeCell ref="A4:E4"/>
    <mergeCell ref="A2:E2"/>
    <mergeCell ref="A7:E7"/>
    <mergeCell ref="A1:E1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28" customWidth="1" min="9" max="9"/>
  </cols>
  <sheetData>
    <row r="1" ht="28" customHeight="1">
      <c r="A1" s="1" t="inlineStr">
        <is>
          <t>TASK 0E.02: 6-MONTH CASH FLOW PROJECTION — MONTH-BY-MONTH</t>
        </is>
      </c>
    </row>
    <row r="2" ht="20" customHeight="1">
      <c r="A2" s="2" t="inlineStr">
        <is>
          <t>KPI: 6 months projected  |  STATUS: COMPLETE  |  Starting: $10,000  |  Ending Month 6: $5,267  |  Never goes negative</t>
        </is>
      </c>
    </row>
    <row r="3" ht="24" customHeight="1">
      <c r="A3" s="3" t="inlineStr"/>
      <c r="B3" s="3" t="inlineStr">
        <is>
          <t>Pre-Launch
(Mo 1-2)</t>
        </is>
      </c>
      <c r="C3" s="3" t="inlineStr">
        <is>
          <t>Month 3
(Build)</t>
        </is>
      </c>
      <c r="D3" s="3" t="inlineStr">
        <is>
          <t>Month 4
(Launch)</t>
        </is>
      </c>
      <c r="E3" s="3" t="inlineStr">
        <is>
          <t>Month 5</t>
        </is>
      </c>
      <c r="F3" s="3" t="inlineStr">
        <is>
          <t>Month 6</t>
        </is>
      </c>
      <c r="G3" s="3" t="inlineStr">
        <is>
          <t>TOTAL
6 Months</t>
        </is>
      </c>
      <c r="H3" s="3" t="inlineStr">
        <is>
          <t>Notes</t>
        </is>
      </c>
      <c r="I3" s="3" t="inlineStr">
        <is>
          <t>Assumptions</t>
        </is>
      </c>
    </row>
    <row r="4" ht="22" customHeight="1">
      <c r="A4" s="9" t="inlineStr">
        <is>
          <t>REVENUE</t>
        </is>
      </c>
    </row>
    <row r="5" ht="24" customHeight="1">
      <c r="A5" s="5" t="inlineStr">
        <is>
          <t>Units Sold</t>
        </is>
      </c>
      <c r="B5" s="14" t="n">
        <v>0</v>
      </c>
      <c r="C5" s="14" t="n">
        <v>0</v>
      </c>
      <c r="D5" s="14" t="n">
        <v>40</v>
      </c>
      <c r="E5" s="14" t="n">
        <v>80</v>
      </c>
      <c r="F5" s="14" t="n">
        <v>120</v>
      </c>
      <c r="G5" s="5" t="n"/>
      <c r="H5" s="5" t="inlineStr">
        <is>
          <t>Ramp: 0→0→40→80→120 (moderate scenario)</t>
        </is>
      </c>
      <c r="I5" s="5" t="inlineStr">
        <is>
          <t>Launch in Month 4. Ramp 50% MoM.</t>
        </is>
      </c>
    </row>
    <row r="6" ht="24" customHeight="1">
      <c r="A6" s="8" t="inlineStr">
        <is>
          <t>Gross Revenue ($34.99/unit)</t>
        </is>
      </c>
      <c r="B6" s="15" t="n">
        <v>0</v>
      </c>
      <c r="C6" s="15" t="n">
        <v>0</v>
      </c>
      <c r="D6" s="15" t="n">
        <v>1400</v>
      </c>
      <c r="E6" s="15" t="n">
        <v>2799</v>
      </c>
      <c r="F6" s="15" t="n">
        <v>4199</v>
      </c>
      <c r="G6" s="8" t="n"/>
      <c r="H6" s="8" t="inlineStr">
        <is>
          <t>Units × $34.99</t>
        </is>
      </c>
      <c r="I6" s="8" t="inlineStr">
        <is>
          <t>Shopify D2C only (Amazon added later)</t>
        </is>
      </c>
    </row>
    <row r="7" ht="6" customHeight="1"/>
    <row r="8" ht="22" customHeight="1">
      <c r="A8" s="9" t="inlineStr">
        <is>
          <t>COST OF GOODS SOLD</t>
        </is>
      </c>
    </row>
    <row r="9" ht="24" customHeight="1">
      <c r="A9" s="5" t="inlineStr">
        <is>
          <t>Product COGS ($6.50/unit)</t>
        </is>
      </c>
      <c r="B9" s="14" t="n">
        <v>0</v>
      </c>
      <c r="C9" s="14" t="n">
        <v>0</v>
      </c>
      <c r="D9" s="14" t="n">
        <v>260</v>
      </c>
      <c r="E9" s="14" t="n">
        <v>520</v>
      </c>
      <c r="F9" s="14" t="n">
        <v>780</v>
      </c>
      <c r="G9" s="5" t="n"/>
      <c r="H9" s="5" t="inlineStr">
        <is>
          <t>Units sold × $6.50</t>
        </is>
      </c>
      <c r="I9" s="5" t="inlineStr">
        <is>
          <t>Per P0C.04 unit economics model</t>
        </is>
      </c>
    </row>
    <row r="10" ht="24" customHeight="1">
      <c r="A10" s="8" t="inlineStr">
        <is>
          <t>Packaging ($0.55/unit)</t>
        </is>
      </c>
      <c r="B10" s="15" t="n">
        <v>0</v>
      </c>
      <c r="C10" s="15" t="n">
        <v>0</v>
      </c>
      <c r="D10" s="15" t="n">
        <v>22</v>
      </c>
      <c r="E10" s="15" t="n">
        <v>44</v>
      </c>
      <c r="F10" s="15" t="n">
        <v>66</v>
      </c>
      <c r="G10" s="8" t="n"/>
      <c r="H10" s="8" t="inlineStr">
        <is>
          <t>Units sold × $0.55</t>
        </is>
      </c>
      <c r="I10" s="8" t="inlineStr">
        <is>
          <t>Mailer + tag + insert + sticker</t>
        </is>
      </c>
    </row>
    <row r="11" ht="24" customHeight="1">
      <c r="A11" s="5" t="inlineStr">
        <is>
          <t>Shipping to Customer ($4.50/unit)</t>
        </is>
      </c>
      <c r="B11" s="14" t="n">
        <v>0</v>
      </c>
      <c r="C11" s="14" t="n">
        <v>0</v>
      </c>
      <c r="D11" s="14" t="n">
        <v>180</v>
      </c>
      <c r="E11" s="14" t="n">
        <v>360</v>
      </c>
      <c r="F11" s="14" t="n">
        <v>540</v>
      </c>
      <c r="G11" s="5" t="n"/>
      <c r="H11" s="5" t="inlineStr">
        <is>
          <t>Units sold × $4.50</t>
        </is>
      </c>
      <c r="I11" s="5" t="inlineStr">
        <is>
          <t>USPS First Class, free shipping offered</t>
        </is>
      </c>
    </row>
    <row r="12" ht="24" customHeight="1">
      <c r="A12" s="8" t="inlineStr">
        <is>
          <t>Payment Processing (4.6%)</t>
        </is>
      </c>
      <c r="B12" s="15" t="n">
        <v>0</v>
      </c>
      <c r="C12" s="15" t="n">
        <v>0</v>
      </c>
      <c r="D12" s="15" t="n">
        <v>64</v>
      </c>
      <c r="E12" s="15" t="n">
        <v>129</v>
      </c>
      <c r="F12" s="15" t="n">
        <v>193</v>
      </c>
      <c r="G12" s="8" t="n"/>
      <c r="H12" s="8" t="inlineStr">
        <is>
          <t>Revenue × 4.6%</t>
        </is>
      </c>
      <c r="I12" s="8" t="inlineStr">
        <is>
          <t>Shopify Payments 2.9%+$0.30 + platform</t>
        </is>
      </c>
    </row>
    <row r="13" ht="24" customHeight="1">
      <c r="A13" s="16" t="inlineStr">
        <is>
          <t>TOTAL VARIABLE COSTS</t>
        </is>
      </c>
      <c r="B13" s="17" t="n">
        <v>0</v>
      </c>
      <c r="C13" s="17" t="n">
        <v>0</v>
      </c>
      <c r="D13" s="17" t="n">
        <v>526</v>
      </c>
      <c r="E13" s="17" t="n">
        <v>1053</v>
      </c>
      <c r="F13" s="17" t="n">
        <v>1579</v>
      </c>
      <c r="G13" s="16" t="n"/>
      <c r="H13" s="16" t="inlineStr">
        <is>
          <t>Sum of above</t>
        </is>
      </c>
      <c r="I13" s="16" t="inlineStr"/>
    </row>
    <row r="14" ht="6" customHeight="1"/>
    <row r="15" ht="24" customHeight="1">
      <c r="A15" s="6" t="inlineStr">
        <is>
          <t>GROSS PROFIT</t>
        </is>
      </c>
      <c r="B15" s="18" t="n">
        <v>0</v>
      </c>
      <c r="C15" s="18" t="n">
        <v>0</v>
      </c>
      <c r="D15" s="18" t="n">
        <v>874</v>
      </c>
      <c r="E15" s="18" t="n">
        <v>1746</v>
      </c>
      <c r="F15" s="18" t="n">
        <v>2620</v>
      </c>
      <c r="G15" s="6" t="n"/>
      <c r="H15" s="6" t="inlineStr">
        <is>
          <t>Revenue - Variable Costs</t>
        </is>
      </c>
      <c r="I15" s="6" t="inlineStr">
        <is>
          <t>62.4% gross margin maintained</t>
        </is>
      </c>
    </row>
    <row r="16" ht="6" customHeight="1"/>
    <row r="17" ht="22" customHeight="1">
      <c r="A17" s="9" t="inlineStr">
        <is>
          <t>FIXED / SEMI-FIXED EXPENSES</t>
        </is>
      </c>
    </row>
    <row r="18" ht="24" customHeight="1">
      <c r="A18" s="8" t="inlineStr">
        <is>
          <t>Inventory Purchase (300 units @ $6.50)</t>
        </is>
      </c>
      <c r="B18" s="15" t="n">
        <v>0</v>
      </c>
      <c r="C18" s="15" t="n">
        <v>1950</v>
      </c>
      <c r="D18" s="15" t="n">
        <v>0</v>
      </c>
      <c r="E18" s="15" t="n">
        <v>0</v>
      </c>
      <c r="F18" s="15" t="n">
        <v>0</v>
      </c>
      <c r="G18" s="8" t="n"/>
      <c r="H18" s="8" t="inlineStr">
        <is>
          <t>First production run</t>
        </is>
      </c>
      <c r="I18" s="8" t="inlineStr">
        <is>
          <t>$6.50 × 300 = $1,950. Paid Month 3.</t>
        </is>
      </c>
    </row>
    <row r="19" ht="24" customHeight="1">
      <c r="A19" s="5" t="inlineStr">
        <is>
          <t>Packaging Materials (300 units)</t>
        </is>
      </c>
      <c r="B19" s="14" t="n">
        <v>0</v>
      </c>
      <c r="C19" s="14" t="n">
        <v>165</v>
      </c>
      <c r="D19" s="14" t="n">
        <v>0</v>
      </c>
      <c r="E19" s="14" t="n">
        <v>0</v>
      </c>
      <c r="F19" s="14" t="n">
        <v>0</v>
      </c>
      <c r="G19" s="5" t="n"/>
      <c r="H19" s="5" t="inlineStr">
        <is>
          <t>First packaging order</t>
        </is>
      </c>
      <c r="I19" s="5" t="inlineStr">
        <is>
          <t>$0.55 × 300 = $165</t>
        </is>
      </c>
    </row>
    <row r="20" ht="24" customHeight="1">
      <c r="A20" s="8" t="inlineStr">
        <is>
          <t>Shopify Subscription ($29/mo)</t>
        </is>
      </c>
      <c r="B20" s="15" t="n">
        <v>29</v>
      </c>
      <c r="C20" s="15" t="n">
        <v>29</v>
      </c>
      <c r="D20" s="15" t="n">
        <v>29</v>
      </c>
      <c r="E20" s="15" t="n">
        <v>29</v>
      </c>
      <c r="F20" s="15" t="n">
        <v>29</v>
      </c>
      <c r="G20" s="8" t="n"/>
      <c r="H20" s="8" t="inlineStr">
        <is>
          <t>Shopify Basic plan</t>
        </is>
      </c>
      <c r="I20" s="8" t="inlineStr">
        <is>
          <t>$1/mo trial first 3 months possible</t>
        </is>
      </c>
    </row>
    <row r="21" ht="24" customHeight="1">
      <c r="A21" s="5" t="inlineStr">
        <is>
          <t>Klaviyo Email (free tier)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5" t="n"/>
      <c r="H21" s="5" t="inlineStr">
        <is>
          <t>Free up to 250 contacts</t>
        </is>
      </c>
      <c r="I21" s="5" t="inlineStr">
        <is>
          <t>Upgrade to $20/mo once list exceeds 250</t>
        </is>
      </c>
    </row>
    <row r="22" ht="24" customHeight="1">
      <c r="A22" s="8" t="inlineStr">
        <is>
          <t>Domain + Hosting</t>
        </is>
      </c>
      <c r="B22" s="15" t="n">
        <v>15</v>
      </c>
      <c r="C22" s="15" t="n">
        <v>0</v>
      </c>
      <c r="D22" s="15" t="n">
        <v>0</v>
      </c>
      <c r="E22" s="15" t="n">
        <v>0</v>
      </c>
      <c r="F22" s="15" t="n">
        <v>0</v>
      </c>
      <c r="G22" s="8" t="n"/>
      <c r="H22" s="8" t="inlineStr">
        <is>
          <t>Domain registration (.com)</t>
        </is>
      </c>
      <c r="I22" s="8" t="inlineStr">
        <is>
          <t>$12-15/year for .com</t>
        </is>
      </c>
    </row>
    <row r="23" ht="24" customHeight="1">
      <c r="A23" s="5" t="inlineStr">
        <is>
          <t>Brand Design (logo, identity)</t>
        </is>
      </c>
      <c r="B23" s="14" t="n">
        <v>150</v>
      </c>
      <c r="C23" s="14" t="n">
        <v>0</v>
      </c>
      <c r="D23" s="14" t="n">
        <v>0</v>
      </c>
      <c r="E23" s="14" t="n">
        <v>0</v>
      </c>
      <c r="F23" s="14" t="n">
        <v>0</v>
      </c>
      <c r="G23" s="5" t="n"/>
      <c r="H23" s="5" t="inlineStr">
        <is>
          <t>99designs or Fiverr</t>
        </is>
      </c>
      <c r="I23" s="5" t="inlineStr">
        <is>
          <t>Logo + color palette + basic brand guide</t>
        </is>
      </c>
    </row>
    <row r="24" ht="24" customHeight="1">
      <c r="A24" s="8" t="inlineStr">
        <is>
          <t>Product Photography</t>
        </is>
      </c>
      <c r="B24" s="15" t="n">
        <v>0</v>
      </c>
      <c r="C24" s="15" t="n">
        <v>50</v>
      </c>
      <c r="D24" s="15" t="n">
        <v>0</v>
      </c>
      <c r="E24" s="15" t="n">
        <v>0</v>
      </c>
      <c r="F24" s="15" t="n">
        <v>0</v>
      </c>
      <c r="G24" s="8" t="n"/>
      <c r="H24" s="8" t="inlineStr">
        <is>
          <t>DIY iPhone + foam board</t>
        </is>
      </c>
      <c r="I24" s="8" t="inlineStr">
        <is>
          <t>Minimal cost — founder shoots</t>
        </is>
      </c>
    </row>
    <row r="25" ht="24" customHeight="1">
      <c r="A25" s="5" t="inlineStr">
        <is>
          <t>Trademark Filing (USPTO)</t>
        </is>
      </c>
      <c r="B25" s="14" t="n">
        <v>0</v>
      </c>
      <c r="C25" s="14" t="n">
        <v>250</v>
      </c>
      <c r="D25" s="14" t="n">
        <v>0</v>
      </c>
      <c r="E25" s="14" t="n">
        <v>0</v>
      </c>
      <c r="F25" s="14" t="n">
        <v>0</v>
      </c>
      <c r="G25" s="5" t="n"/>
      <c r="H25" s="5" t="inlineStr">
        <is>
          <t>TEAS Plus filing Class 028</t>
        </is>
      </c>
      <c r="I25" s="5" t="inlineStr">
        <is>
          <t>$250 per class. File early.</t>
        </is>
      </c>
    </row>
    <row r="26" ht="24" customHeight="1">
      <c r="A26" s="8" t="inlineStr">
        <is>
          <t>LLC Formation</t>
        </is>
      </c>
      <c r="B26" s="15" t="n">
        <v>100</v>
      </c>
      <c r="C26" s="15" t="n">
        <v>0</v>
      </c>
      <c r="D26" s="15" t="n">
        <v>0</v>
      </c>
      <c r="E26" s="15" t="n">
        <v>0</v>
      </c>
      <c r="F26" s="15" t="n">
        <v>0</v>
      </c>
      <c r="G26" s="8" t="n"/>
      <c r="H26" s="8" t="inlineStr">
        <is>
          <t>State filing or Stripe Atlas</t>
        </is>
      </c>
      <c r="I26" s="8" t="inlineStr">
        <is>
          <t>DIY: $100-150. Stripe Atlas: $500.</t>
        </is>
      </c>
    </row>
    <row r="27" ht="24" customHeight="1">
      <c r="A27" s="5" t="inlineStr">
        <is>
          <t>Product Samples (3 suppliers)</t>
        </is>
      </c>
      <c r="B27" s="14" t="n">
        <v>0</v>
      </c>
      <c r="C27" s="14" t="n">
        <v>200</v>
      </c>
      <c r="D27" s="14" t="n">
        <v>0</v>
      </c>
      <c r="E27" s="14" t="n">
        <v>0</v>
      </c>
      <c r="F27" s="14" t="n">
        <v>0</v>
      </c>
      <c r="G27" s="5" t="n"/>
      <c r="H27" s="5" t="inlineStr">
        <is>
          <t>3-5 samples + shipping</t>
        </is>
      </c>
      <c r="I27" s="5" t="inlineStr">
        <is>
          <t>Testing samples from Alibaba suppliers</t>
        </is>
      </c>
    </row>
    <row r="28" ht="6" customHeight="1"/>
    <row r="29" ht="22" customHeight="1">
      <c r="A29" s="9" t="inlineStr">
        <is>
          <t>MARKETING EXPENSES</t>
        </is>
      </c>
    </row>
    <row r="30" ht="24" customHeight="1">
      <c r="A30" s="8" t="inlineStr">
        <is>
          <t>Influencer Seeding (20 units × $15)</t>
        </is>
      </c>
      <c r="B30" s="15" t="n">
        <v>0</v>
      </c>
      <c r="C30" s="15" t="n">
        <v>0</v>
      </c>
      <c r="D30" s="15" t="n">
        <v>300</v>
      </c>
      <c r="E30" s="15" t="n">
        <v>0</v>
      </c>
      <c r="F30" s="15" t="n">
        <v>0</v>
      </c>
      <c r="G30" s="8" t="n"/>
      <c r="H30" s="8" t="inlineStr">
        <is>
          <t>Free product to micro-influencers</t>
        </is>
      </c>
      <c r="I30" s="8" t="inlineStr">
        <is>
          <t>20 units × ($6.50 COGS + $4.50 shipping + $4 packaging)</t>
        </is>
      </c>
    </row>
    <row r="31" ht="24" customHeight="1">
      <c r="A31" s="5" t="inlineStr">
        <is>
          <t>Meta Ads (Facebook/Instagram)</t>
        </is>
      </c>
      <c r="B31" s="14" t="n">
        <v>0</v>
      </c>
      <c r="C31" s="14" t="n">
        <v>0</v>
      </c>
      <c r="D31" s="14" t="n">
        <v>200</v>
      </c>
      <c r="E31" s="14" t="n">
        <v>400</v>
      </c>
      <c r="F31" s="14" t="n">
        <v>500</v>
      </c>
      <c r="G31" s="5" t="n"/>
      <c r="H31" s="5" t="inlineStr">
        <is>
          <t>$10-15/day scaling up</t>
        </is>
      </c>
      <c r="I31" s="5" t="inlineStr">
        <is>
          <t>Start $7/day, scale to $17/day by Month 6</t>
        </is>
      </c>
    </row>
    <row r="32" ht="24" customHeight="1">
      <c r="A32" s="8" t="inlineStr">
        <is>
          <t>Google Ads (Shopping + Search)</t>
        </is>
      </c>
      <c r="B32" s="15" t="n">
        <v>0</v>
      </c>
      <c r="C32" s="15" t="n">
        <v>0</v>
      </c>
      <c r="D32" s="15" t="n">
        <v>0</v>
      </c>
      <c r="E32" s="15" t="n">
        <v>150</v>
      </c>
      <c r="F32" s="15" t="n">
        <v>200</v>
      </c>
      <c r="G32" s="8" t="n"/>
      <c r="H32" s="8" t="inlineStr">
        <is>
          <t>Add in Month 5</t>
        </is>
      </c>
      <c r="I32" s="8" t="inlineStr">
        <is>
          <t>Google Shopping captures purchase intent</t>
        </is>
      </c>
    </row>
    <row r="33" ht="24" customHeight="1">
      <c r="A33" s="5" t="inlineStr">
        <is>
          <t>Running Event Attendance (2 events)</t>
        </is>
      </c>
      <c r="B33" s="14" t="n">
        <v>0</v>
      </c>
      <c r="C33" s="14" t="n">
        <v>0</v>
      </c>
      <c r="D33" s="14" t="n">
        <v>100</v>
      </c>
      <c r="E33" s="14" t="n">
        <v>100</v>
      </c>
      <c r="F33" s="14" t="n">
        <v>0</v>
      </c>
      <c r="G33" s="5" t="n"/>
      <c r="H33" s="5" t="inlineStr">
        <is>
          <t>Table/booth + travel</t>
        </is>
      </c>
      <c r="I33" s="5" t="inlineStr">
        <is>
          <t>Local running events for sampling + sales</t>
        </is>
      </c>
    </row>
    <row r="34" ht="24" customHeight="1">
      <c r="A34" s="8" t="inlineStr">
        <is>
          <t>Content Creation (tools/props)</t>
        </is>
      </c>
      <c r="B34" s="15" t="n">
        <v>0</v>
      </c>
      <c r="C34" s="15" t="n">
        <v>30</v>
      </c>
      <c r="D34" s="15" t="n">
        <v>0</v>
      </c>
      <c r="E34" s="15" t="n">
        <v>0</v>
      </c>
      <c r="F34" s="15" t="n">
        <v>0</v>
      </c>
      <c r="G34" s="8" t="n"/>
      <c r="H34" s="8" t="inlineStr">
        <is>
          <t>Minor props for product videos</t>
        </is>
      </c>
      <c r="I34" s="8" t="inlineStr">
        <is>
          <t>Ring light, backdrop, etc.</t>
        </is>
      </c>
    </row>
    <row r="35" ht="6" customHeight="1"/>
    <row r="36" ht="24" customHeight="1">
      <c r="A36" s="16" t="inlineStr">
        <is>
          <t>TOTAL FIXED + MARKETING</t>
        </is>
      </c>
      <c r="B36" s="17" t="n">
        <v>294</v>
      </c>
      <c r="C36" s="17" t="n">
        <v>2674</v>
      </c>
      <c r="D36" s="17" t="n">
        <v>629</v>
      </c>
      <c r="E36" s="17" t="n">
        <v>679</v>
      </c>
      <c r="F36" s="17" t="n">
        <v>729</v>
      </c>
      <c r="G36" s="16" t="n"/>
      <c r="H36" s="16" t="inlineStr">
        <is>
          <t>Sum of all expenses</t>
        </is>
      </c>
      <c r="I36" s="16" t="inlineStr">
        <is>
          <t>Heaviest spend: Month 3 (inventory purchase)</t>
        </is>
      </c>
    </row>
    <row r="37" ht="6" customHeight="1"/>
    <row r="38" ht="22" customHeight="1">
      <c r="A38" s="9" t="inlineStr">
        <is>
          <t>CASH FLOW SUMMARY</t>
        </is>
      </c>
    </row>
    <row r="39" ht="24" customHeight="1">
      <c r="A39" s="16" t="inlineStr">
        <is>
          <t>Monthly Cash Inflow</t>
        </is>
      </c>
      <c r="B39" s="17" t="n">
        <v>0</v>
      </c>
      <c r="C39" s="17" t="n">
        <v>0</v>
      </c>
      <c r="D39" s="17" t="n">
        <v>1400</v>
      </c>
      <c r="E39" s="17" t="n">
        <v>2799</v>
      </c>
      <c r="F39" s="17" t="n">
        <v>4199</v>
      </c>
      <c r="G39" s="16" t="n"/>
      <c r="H39" s="16">
        <f> Gross Revenue</f>
        <v/>
      </c>
      <c r="I39" s="16" t="inlineStr"/>
    </row>
    <row r="40" ht="24" customHeight="1">
      <c r="A40" s="16" t="inlineStr">
        <is>
          <t>Monthly Cash Outflow</t>
        </is>
      </c>
      <c r="B40" s="17" t="n">
        <v>294</v>
      </c>
      <c r="C40" s="17" t="n">
        <v>2674</v>
      </c>
      <c r="D40" s="17" t="n">
        <v>1155</v>
      </c>
      <c r="E40" s="17" t="n">
        <v>1732</v>
      </c>
      <c r="F40" s="17" t="n">
        <v>2308</v>
      </c>
      <c r="G40" s="16" t="n"/>
      <c r="H40" s="16">
        <f> Variable + Fixed + Marketing</f>
        <v/>
      </c>
      <c r="I40" s="16" t="inlineStr"/>
    </row>
    <row r="41" ht="24" customHeight="1">
      <c r="A41" s="16" t="inlineStr">
        <is>
          <t>NET CASH FLOW</t>
        </is>
      </c>
      <c r="B41" s="19" t="n">
        <v>-294</v>
      </c>
      <c r="C41" s="19" t="n">
        <v>-2674</v>
      </c>
      <c r="D41" s="17" t="n">
        <v>245</v>
      </c>
      <c r="E41" s="17" t="n">
        <v>1067</v>
      </c>
      <c r="F41" s="17" t="n">
        <v>1891</v>
      </c>
      <c r="G41" s="16" t="n"/>
      <c r="H41" s="16">
        <f> Inflow - Outflow</f>
        <v/>
      </c>
      <c r="I41" s="16" t="inlineStr">
        <is>
          <t>Positive from Month 4 (launch month)</t>
        </is>
      </c>
    </row>
    <row r="42" ht="6" customHeight="1"/>
    <row r="43" ht="24" customHeight="1">
      <c r="A43" s="16" t="inlineStr">
        <is>
          <t>Opening Cash Balance</t>
        </is>
      </c>
      <c r="B43" s="17" t="n">
        <v>10000</v>
      </c>
      <c r="C43" s="17" t="n">
        <v>9706</v>
      </c>
      <c r="D43" s="17" t="n">
        <v>7032</v>
      </c>
      <c r="E43" s="17" t="n">
        <v>7277</v>
      </c>
      <c r="F43" s="17" t="n">
        <v>8344</v>
      </c>
      <c r="G43" s="16" t="n"/>
      <c r="H43" s="16" t="inlineStr">
        <is>
          <t>Prior month closing</t>
        </is>
      </c>
      <c r="I43" s="16" t="inlineStr">
        <is>
          <t>Starting capital: $10,000</t>
        </is>
      </c>
    </row>
    <row r="44" ht="24" customHeight="1">
      <c r="A44" s="6" t="inlineStr">
        <is>
          <t>Closing Cash Balance</t>
        </is>
      </c>
      <c r="B44" s="18" t="n">
        <v>9706</v>
      </c>
      <c r="C44" s="18" t="n">
        <v>7032</v>
      </c>
      <c r="D44" s="18" t="n">
        <v>7277</v>
      </c>
      <c r="E44" s="18" t="n">
        <v>8344</v>
      </c>
      <c r="F44" s="18" t="n">
        <v>10235</v>
      </c>
      <c r="G44" s="6" t="n"/>
      <c r="H44" s="6" t="inlineStr">
        <is>
          <t>Opening + Net Cash Flow</t>
        </is>
      </c>
      <c r="I44" s="6" t="inlineStr">
        <is>
          <t>Month 6 ending: $10,235 (above starting capital!)</t>
        </is>
      </c>
    </row>
    <row r="45" ht="6" customHeight="1"/>
    <row r="46" ht="24" customHeight="1">
      <c r="A46" s="16" t="inlineStr">
        <is>
          <t>Cumulative Units Sold</t>
        </is>
      </c>
      <c r="B46" s="17" t="n">
        <v>0</v>
      </c>
      <c r="C46" s="17" t="n">
        <v>0</v>
      </c>
      <c r="D46" s="17" t="n">
        <v>40</v>
      </c>
      <c r="E46" s="17" t="n">
        <v>120</v>
      </c>
      <c r="F46" s="17" t="n">
        <v>240</v>
      </c>
      <c r="G46" s="16" t="n"/>
      <c r="H46" s="16" t="inlineStr">
        <is>
          <t>Running total</t>
        </is>
      </c>
      <c r="I46" s="16" t="inlineStr">
        <is>
          <t>240 total by end of Month 6</t>
        </is>
      </c>
    </row>
    <row r="47" ht="24" customHeight="1">
      <c r="A47" s="16" t="inlineStr">
        <is>
          <t>Cumulative Revenue</t>
        </is>
      </c>
      <c r="B47" s="17" t="n">
        <v>0</v>
      </c>
      <c r="C47" s="17" t="n">
        <v>0</v>
      </c>
      <c r="D47" s="17" t="n">
        <v>1400</v>
      </c>
      <c r="E47" s="17" t="n">
        <v>4199</v>
      </c>
      <c r="F47" s="17" t="n">
        <v>8398</v>
      </c>
      <c r="G47" s="16" t="n"/>
      <c r="H47" s="16" t="inlineStr">
        <is>
          <t>Running total revenue</t>
        </is>
      </c>
      <c r="I47" s="16" t="inlineStr"/>
    </row>
    <row r="48" ht="24" customHeight="1">
      <c r="A48" s="16" t="inlineStr">
        <is>
          <t>Cumulative Profit (vs $10K invested)</t>
        </is>
      </c>
      <c r="B48" s="19" t="n">
        <v>-294</v>
      </c>
      <c r="C48" s="19" t="n">
        <v>-2968</v>
      </c>
      <c r="D48" s="19" t="n">
        <v>-2723</v>
      </c>
      <c r="E48" s="19" t="n">
        <v>-1656</v>
      </c>
      <c r="F48" s="17" t="n">
        <v>235</v>
      </c>
      <c r="G48" s="16" t="n"/>
      <c r="H48" s="16" t="inlineStr">
        <is>
          <t>Running total net cash flow</t>
        </is>
      </c>
      <c r="I48" s="16" t="inlineStr">
        <is>
          <t>BREAKEVEN in Month 6! Cumulative profit turns positive.</t>
        </is>
      </c>
    </row>
  </sheetData>
  <mergeCells count="7">
    <mergeCell ref="A29:I29"/>
    <mergeCell ref="A2:I2"/>
    <mergeCell ref="A1:I1"/>
    <mergeCell ref="A17:I17"/>
    <mergeCell ref="A8:I8"/>
    <mergeCell ref="A4:I4"/>
    <mergeCell ref="A38:I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6" customWidth="1" min="4" max="4"/>
    <col width="36" customWidth="1" min="5" max="5"/>
  </cols>
  <sheetData>
    <row r="1" ht="28" customHeight="1">
      <c r="A1" s="1" t="inlineStr">
        <is>
          <t>TASK 0E.03: BREAKEVEN ANALYSIS — MULTIPLE PERSPECTIVES</t>
        </is>
      </c>
    </row>
    <row r="2" ht="20" customHeight="1">
      <c r="A2" s="2" t="inlineStr">
        <is>
          <t>KPI: Breakeven unit count known  |  STATUS: COMPLETE</t>
        </is>
      </c>
    </row>
    <row r="3" ht="24" customHeight="1">
      <c r="A3" s="3" t="inlineStr">
        <is>
          <t>Breakeven Metric</t>
        </is>
      </c>
      <c r="B3" s="3" t="inlineStr">
        <is>
          <t>Formula</t>
        </is>
      </c>
      <c r="C3" s="3" t="inlineStr">
        <is>
          <t>Result</t>
        </is>
      </c>
      <c r="D3" s="3" t="inlineStr">
        <is>
          <t>Timeline (Moderate)</t>
        </is>
      </c>
      <c r="E3" s="3" t="inlineStr">
        <is>
          <t>Interpretation</t>
        </is>
      </c>
    </row>
    <row r="4" ht="22" customHeight="1">
      <c r="A4" s="9" t="inlineStr">
        <is>
          <t>UNIT-LEVEL BREAKEVEN</t>
        </is>
      </c>
    </row>
    <row r="5" ht="38" customHeight="1">
      <c r="A5" s="7" t="inlineStr">
        <is>
          <t>Gross Profit Breakeven</t>
        </is>
      </c>
      <c r="B5" s="8" t="inlineStr">
        <is>
          <t>$10,000 ÷ $27.94 gross profit/unit</t>
        </is>
      </c>
      <c r="C5" s="8" t="inlineStr">
        <is>
          <t>358 units</t>
        </is>
      </c>
      <c r="D5" s="8" t="inlineStr">
        <is>
          <t>Month 5</t>
        </is>
      </c>
      <c r="E5" s="8" t="inlineStr">
        <is>
          <t>Units needed to recover $10K IF you had zero shipping, fees, or marketing costs. Theoretical floor.</t>
        </is>
      </c>
    </row>
    <row r="6" ht="38" customHeight="1">
      <c r="A6" s="4" t="inlineStr">
        <is>
          <t>Contribution Breakeven (pre-marketing)</t>
        </is>
      </c>
      <c r="B6" s="5" t="inlineStr">
        <is>
          <t>$10,000 ÷ $21.84 contribution/unit</t>
        </is>
      </c>
      <c r="C6" s="5" t="inlineStr">
        <is>
          <t>458 units</t>
        </is>
      </c>
      <c r="D6" s="5" t="inlineStr">
        <is>
          <t>Month 5-6</t>
        </is>
      </c>
      <c r="E6" s="5" t="inlineStr">
        <is>
          <t>Units needed to recover $10K after shipping + fees but before marketing. More realistic.</t>
        </is>
      </c>
    </row>
    <row r="7" ht="38" customHeight="1">
      <c r="A7" s="7" t="inlineStr">
        <is>
          <t>Full Breakeven (with $10 CAC)</t>
        </is>
      </c>
      <c r="B7" s="8" t="inlineStr">
        <is>
          <t>$10,000 ÷ $11.84 net contribution/unit</t>
        </is>
      </c>
      <c r="C7" s="8" t="inlineStr">
        <is>
          <t>845 units</t>
        </is>
      </c>
      <c r="D7" s="8" t="inlineStr">
        <is>
          <t>Month 8-9</t>
        </is>
      </c>
      <c r="E7" s="8" t="inlineStr">
        <is>
          <t>Units needed if EVERY customer costs $10 to acquire. Conservative — organic sales lower this.</t>
        </is>
      </c>
    </row>
    <row r="8" ht="38" customHeight="1">
      <c r="A8" s="4" t="inlineStr">
        <is>
          <t>Blended Breakeven (40% organic)</t>
        </is>
      </c>
      <c r="B8" s="5" t="inlineStr">
        <is>
          <t>$10,000 ÷ $16.74 blended contribution</t>
        </is>
      </c>
      <c r="C8" s="5" t="inlineStr">
        <is>
          <t>598 units</t>
        </is>
      </c>
      <c r="D8" s="5" t="inlineStr">
        <is>
          <t>Month 6-7</t>
        </is>
      </c>
      <c r="E8" s="5" t="inlineStr">
        <is>
          <t>Realistic: 40% of customers are organic ($0 CAC), 60% paid ($16.67 CAC). Blended contribution = $16.74.</t>
        </is>
      </c>
    </row>
    <row r="9" ht="6" customHeight="1"/>
    <row r="10" ht="22" customHeight="1">
      <c r="A10" s="9" t="inlineStr">
        <is>
          <t>MONTHLY BREAKEVEN</t>
        </is>
      </c>
    </row>
    <row r="11" ht="38" customHeight="1">
      <c r="A11" s="7" t="inlineStr">
        <is>
          <t>Monthly Fixed Costs</t>
        </is>
      </c>
      <c r="B11" s="8" t="inlineStr">
        <is>
          <t>Shopify ($29) + tools ($20) + misc ($50)</t>
        </is>
      </c>
      <c r="C11" s="8" t="inlineStr">
        <is>
          <t>~$100/month</t>
        </is>
      </c>
      <c r="D11" s="8" t="inlineStr">
        <is>
          <t>Ongoing</t>
        </is>
      </c>
      <c r="E11" s="8" t="inlineStr">
        <is>
          <t>Bare minimum monthly costs to keep the lights on.</t>
        </is>
      </c>
    </row>
    <row r="12" ht="38" customHeight="1">
      <c r="A12" s="4" t="inlineStr">
        <is>
          <t>Units to Cover Monthly Fixed</t>
        </is>
      </c>
      <c r="B12" s="5" t="inlineStr">
        <is>
          <t>$100 ÷ $21.84 contribution/unit</t>
        </is>
      </c>
      <c r="C12" s="5" t="inlineStr">
        <is>
          <t>5 units/month</t>
        </is>
      </c>
      <c r="D12" s="5" t="inlineStr">
        <is>
          <t>Always</t>
        </is>
      </c>
      <c r="E12" s="5" t="inlineStr">
        <is>
          <t>Selling just 5 units/month covers your fixed costs. Very achievable.</t>
        </is>
      </c>
    </row>
    <row r="13" ht="38" customHeight="1">
      <c r="A13" s="7" t="inlineStr">
        <is>
          <t>Units to Cover Fixed + Ads ($500/mo)</t>
        </is>
      </c>
      <c r="B13" s="8" t="inlineStr">
        <is>
          <t>$600 ÷ $21.84 contribution/unit</t>
        </is>
      </c>
      <c r="C13" s="8" t="inlineStr">
        <is>
          <t>28 units/month</t>
        </is>
      </c>
      <c r="D13" s="8" t="inlineStr">
        <is>
          <t>Month 4+</t>
        </is>
      </c>
      <c r="E13" s="8" t="inlineStr">
        <is>
          <t>If spending $500/mo on ads, need 28 sales to cover costs. ~1 sale/day.</t>
        </is>
      </c>
    </row>
    <row r="14" ht="38" customHeight="1">
      <c r="A14" s="4" t="inlineStr">
        <is>
          <t>Units for $2,000/mo Profit (after all costs)</t>
        </is>
      </c>
      <c r="B14" s="5" t="inlineStr">
        <is>
          <t>($100 + $500 ads + $2,000 target) ÷ $21.84</t>
        </is>
      </c>
      <c r="C14" s="5" t="inlineStr">
        <is>
          <t>119 units/month</t>
        </is>
      </c>
      <c r="D14" s="5" t="inlineStr">
        <is>
          <t>Month 8-10</t>
        </is>
      </c>
      <c r="E14" s="5" t="inlineStr">
        <is>
          <t>~4 sales/day = $2,000 monthly profit. This is a meaningful income level.</t>
        </is>
      </c>
    </row>
    <row r="15" ht="38" customHeight="1">
      <c r="A15" s="7" t="inlineStr">
        <is>
          <t>Units for $5,000/mo Profit</t>
        </is>
      </c>
      <c r="B15" s="8" t="inlineStr">
        <is>
          <t>($100 + $800 ads + $5,000 target) ÷ $21.84</t>
        </is>
      </c>
      <c r="C15" s="8" t="inlineStr">
        <is>
          <t>270 units/month</t>
        </is>
      </c>
      <c r="D15" s="8" t="inlineStr">
        <is>
          <t>Month 12-18</t>
        </is>
      </c>
      <c r="E15" s="8" t="inlineStr">
        <is>
          <t>~9 sales/day. Requires strong marketing engine + potential Amazon channel.</t>
        </is>
      </c>
    </row>
    <row r="16" ht="6" customHeight="1"/>
    <row r="17" ht="22" customHeight="1">
      <c r="A17" s="9" t="inlineStr">
        <is>
          <t>REVENUE BREAKEVEN</t>
        </is>
      </c>
    </row>
    <row r="18" ht="38" customHeight="1">
      <c r="A18" s="4" t="inlineStr">
        <is>
          <t>Breakeven Revenue (contribution basis)</t>
        </is>
      </c>
      <c r="B18" s="5" t="inlineStr">
        <is>
          <t>458 units × $34.99</t>
        </is>
      </c>
      <c r="C18" s="5" t="inlineStr">
        <is>
          <t>$16,025</t>
        </is>
      </c>
      <c r="D18" s="5" t="inlineStr">
        <is>
          <t>Month 5-6</t>
        </is>
      </c>
      <c r="E18" s="5" t="inlineStr">
        <is>
          <t>Revenue needed to recover entire $10K startup investment.</t>
        </is>
      </c>
    </row>
    <row r="19" ht="38" customHeight="1">
      <c r="A19" s="7" t="inlineStr">
        <is>
          <t>Breakeven Revenue (full CAC basis)</t>
        </is>
      </c>
      <c r="B19" s="8" t="inlineStr">
        <is>
          <t>845 units × $34.99</t>
        </is>
      </c>
      <c r="C19" s="8" t="inlineStr">
        <is>
          <t>$29,567</t>
        </is>
      </c>
      <c r="D19" s="8" t="inlineStr">
        <is>
          <t>Month 8-9</t>
        </is>
      </c>
      <c r="E19" s="8" t="inlineStr">
        <is>
          <t>Revenue needed if every customer acquired through paid marketing.</t>
        </is>
      </c>
    </row>
    <row r="20" ht="38" customHeight="1">
      <c r="A20" s="4" t="inlineStr">
        <is>
          <t>Monthly Revenue at 100 units</t>
        </is>
      </c>
      <c r="B20" s="5" t="inlineStr">
        <is>
          <t>100 × $34.99</t>
        </is>
      </c>
      <c r="C20" s="5" t="inlineStr">
        <is>
          <t>$3,499/month</t>
        </is>
      </c>
      <c r="D20" s="5" t="inlineStr">
        <is>
          <t>Month 5-6</t>
        </is>
      </c>
      <c r="E20" s="5" t="inlineStr">
        <is>
          <t>Target monthly revenue at steady-state moderate scenario.</t>
        </is>
      </c>
    </row>
    <row r="21" ht="38" customHeight="1">
      <c r="A21" s="7" t="inlineStr">
        <is>
          <t>Annual Revenue at 100 units/mo</t>
        </is>
      </c>
      <c r="B21" s="8" t="inlineStr">
        <is>
          <t>100 × $34.99 × 12</t>
        </is>
      </c>
      <c r="C21" s="8" t="inlineStr">
        <is>
          <t>$41,988/year</t>
        </is>
      </c>
      <c r="D21" s="8" t="inlineStr">
        <is>
          <t>Year 1 steady state</t>
        </is>
      </c>
      <c r="E21" s="8" t="inlineStr">
        <is>
          <t>Full-year projection at moderate steady-state volume.</t>
        </is>
      </c>
    </row>
    <row r="22" ht="6" customHeight="1"/>
    <row r="23" ht="22" customHeight="1">
      <c r="A23" s="9" t="inlineStr">
        <is>
          <t>KEY INSIGHT</t>
        </is>
      </c>
    </row>
    <row r="24" ht="38" customHeight="1">
      <c r="A24" s="4" t="inlineStr">
        <is>
          <t>The business is viable at remarkably low volume</t>
        </is>
      </c>
      <c r="B24" s="5" t="inlineStr">
        <is>
          <t>At just 5 units/day (150/month), the business generates ~$2,300/month in contribution margin — covering all costs and producing meaningful profit. This is achievable within 4-6 months of launch with the marketing strategies outlined in P5 and P6.</t>
        </is>
      </c>
      <c r="C24" s="5" t="inlineStr"/>
      <c r="D24" s="5" t="inlineStr"/>
      <c r="E24" s="5" t="inlineStr">
        <is>
          <t>A $10K bootstrapped D2C brand selling 5 units/day is a very achievable goal. Many solo D2C brands reach this within their first year.</t>
        </is>
      </c>
    </row>
  </sheetData>
  <mergeCells count="6">
    <mergeCell ref="A4:E4"/>
    <mergeCell ref="A2:E2"/>
    <mergeCell ref="A10:E10"/>
    <mergeCell ref="A1:E1"/>
    <mergeCell ref="A23:E2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090"/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36" customWidth="1" min="5" max="5"/>
    <col width="32" customWidth="1" min="6" max="6"/>
  </cols>
  <sheetData>
    <row r="1" ht="28" customHeight="1">
      <c r="A1" s="1" t="inlineStr">
        <is>
          <t>TASK 0E.04: $10,000 BOOTSTRAP BUDGET ALLOCATION ACROSS ALL PROJECTS</t>
        </is>
      </c>
    </row>
    <row r="2" ht="20" customHeight="1">
      <c r="A2" s="2" t="inlineStr">
        <is>
          <t>KPI: $10K fully allocated  |  STATUS: COMPLETE  |  Mapped to GTM Master Tracker projects P0-P12</t>
        </is>
      </c>
    </row>
    <row r="3" ht="24" customHeight="1">
      <c r="A3" s="3" t="inlineStr">
        <is>
          <t>Category</t>
        </is>
      </c>
      <c r="B3" s="3" t="inlineStr">
        <is>
          <t>Project(s)</t>
        </is>
      </c>
      <c r="C3" s="3" t="inlineStr">
        <is>
          <t>Allocated</t>
        </is>
      </c>
      <c r="D3" s="3" t="inlineStr">
        <is>
          <t>% of Budget</t>
        </is>
      </c>
      <c r="E3" s="3" t="inlineStr">
        <is>
          <t>Line Items</t>
        </is>
      </c>
      <c r="F3" s="3" t="inlineStr">
        <is>
          <t>Priority / Notes</t>
        </is>
      </c>
    </row>
    <row r="4" ht="22" customHeight="1">
      <c r="A4" s="9" t="inlineStr">
        <is>
          <t>PRODUCT &amp; INVENTORY (35%)</t>
        </is>
      </c>
    </row>
    <row r="5" ht="32" customHeight="1">
      <c r="A5" s="7" t="inlineStr">
        <is>
          <t>Supplier Samples</t>
        </is>
      </c>
      <c r="B5" s="8" t="inlineStr">
        <is>
          <t>P0D</t>
        </is>
      </c>
      <c r="C5" s="8" t="inlineStr">
        <is>
          <t>$250</t>
        </is>
      </c>
      <c r="D5" s="8" t="inlineStr">
        <is>
          <t>2.5%</t>
        </is>
      </c>
      <c r="E5" s="8" t="inlineStr">
        <is>
          <t>3-5 custom samples from 3 suppliers ($50-80 each) + shipping ($20-50 each)</t>
        </is>
      </c>
      <c r="F5" s="8" t="inlineStr">
        <is>
          <t>Critical — must test before production order</t>
        </is>
      </c>
    </row>
    <row r="6" ht="32" customHeight="1">
      <c r="A6" s="4" t="inlineStr">
        <is>
          <t>First Production Run (300 units)</t>
        </is>
      </c>
      <c r="B6" s="5" t="inlineStr">
        <is>
          <t>P3</t>
        </is>
      </c>
      <c r="C6" s="5" t="inlineStr">
        <is>
          <t>$1,950</t>
        </is>
      </c>
      <c r="D6" s="5" t="inlineStr">
        <is>
          <t>19.5%</t>
        </is>
      </c>
      <c r="E6" s="5" t="inlineStr">
        <is>
          <t>300 units × $6.50/unit. 30% deposit ($585) then 70% ($1,365) before shipping.</t>
        </is>
      </c>
      <c r="F6" s="5" t="inlineStr">
        <is>
          <t>Largest single expense. Heaviest cash outflow.</t>
        </is>
      </c>
    </row>
    <row r="7" ht="32" customHeight="1">
      <c r="A7" s="7" t="inlineStr">
        <is>
          <t>Packaging Materials (300 units)</t>
        </is>
      </c>
      <c r="B7" s="8" t="inlineStr">
        <is>
          <t>P2</t>
        </is>
      </c>
      <c r="C7" s="8" t="inlineStr">
        <is>
          <t>$165</t>
        </is>
      </c>
      <c r="D7" s="8" t="inlineStr">
        <is>
          <t>1.7%</t>
        </is>
      </c>
      <c r="E7" s="8" t="inlineStr">
        <is>
          <t>Poly mailers ($75), hang tags ($24), insert cards ($15), stickers ($25), tissue ($26)</t>
        </is>
      </c>
      <c r="F7" s="8" t="inlineStr">
        <is>
          <t>Order alongside or slightly before production arrives</t>
        </is>
      </c>
    </row>
    <row r="8" ht="32" customHeight="1">
      <c r="A8" s="4" t="inlineStr">
        <is>
          <t>Inbound Shipping (factory → you)</t>
        </is>
      </c>
      <c r="B8" s="5" t="inlineStr">
        <is>
          <t>P3</t>
        </is>
      </c>
      <c r="C8" s="5" t="inlineStr">
        <is>
          <t>$150</t>
        </is>
      </c>
      <c r="D8" s="5" t="inlineStr">
        <is>
          <t>1.5%</t>
        </is>
      </c>
      <c r="E8" s="5" t="inlineStr">
        <is>
          <t>Air express for 300 units (~20 kg). DDP shipping from China.</t>
        </is>
      </c>
      <c r="F8" s="5" t="inlineStr">
        <is>
          <t>Factor into total landed cost per unit</t>
        </is>
      </c>
    </row>
    <row r="9" ht="32" customHeight="1">
      <c r="A9" s="7" t="inlineStr">
        <is>
          <t>Reorder Buffer</t>
        </is>
      </c>
      <c r="B9" s="8" t="inlineStr">
        <is>
          <t>P3</t>
        </is>
      </c>
      <c r="C9" s="8" t="inlineStr">
        <is>
          <t>$1,000</t>
        </is>
      </c>
      <c r="D9" s="8" t="inlineStr">
        <is>
          <t>10.0%</t>
        </is>
      </c>
      <c r="E9" s="8" t="inlineStr">
        <is>
          <t>Reserved for second production run of 200-300 units when first batch sells through</t>
        </is>
      </c>
      <c r="F9" s="8" t="inlineStr">
        <is>
          <t>Don't spend until reorder trigger is hit</t>
        </is>
      </c>
    </row>
    <row r="10" ht="24" customHeight="1">
      <c r="A10" s="6" t="inlineStr"/>
      <c r="B10" s="6" t="inlineStr">
        <is>
          <t>SUBTOTAL: PRODUCT</t>
        </is>
      </c>
      <c r="C10" s="6" t="inlineStr">
        <is>
          <t>$3,515</t>
        </is>
      </c>
      <c r="D10" s="6" t="inlineStr">
        <is>
          <t>35.2%</t>
        </is>
      </c>
      <c r="E10" s="6" t="inlineStr"/>
      <c r="F10" s="6" t="inlineStr"/>
    </row>
    <row r="11" ht="6" customHeight="1"/>
    <row r="12" ht="22" customHeight="1">
      <c r="A12" s="9" t="inlineStr">
        <is>
          <t>MARKETING &amp; CUSTOMER ACQUISITION (20%)</t>
        </is>
      </c>
    </row>
    <row r="13" ht="32" customHeight="1">
      <c r="A13" s="7" t="inlineStr">
        <is>
          <t>Influencer Seeding (20 free units)</t>
        </is>
      </c>
      <c r="B13" s="8" t="inlineStr">
        <is>
          <t>P5</t>
        </is>
      </c>
      <c r="C13" s="8" t="inlineStr">
        <is>
          <t>$300</t>
        </is>
      </c>
      <c r="D13" s="8" t="inlineStr">
        <is>
          <t>3.0%</t>
        </is>
      </c>
      <c r="E13" s="8" t="inlineStr">
        <is>
          <t>20 units × $15 each (COGS $6.50 + shipping $4.50 + packaging $4)</t>
        </is>
      </c>
      <c r="F13" s="8" t="inlineStr">
        <is>
          <t>Gymshark playbook. Highest ROI marketing spend.</t>
        </is>
      </c>
    </row>
    <row r="14" ht="32" customHeight="1">
      <c r="A14" s="4" t="inlineStr">
        <is>
          <t>Meta Ads (Facebook/Instagram)</t>
        </is>
      </c>
      <c r="B14" s="5" t="inlineStr">
        <is>
          <t>P6</t>
        </is>
      </c>
      <c r="C14" s="5" t="inlineStr">
        <is>
          <t>$800</t>
        </is>
      </c>
      <c r="D14" s="5" t="inlineStr">
        <is>
          <t>8.0%</t>
        </is>
      </c>
      <c r="E14" s="5" t="inlineStr">
        <is>
          <t>$200/mo × 4 months (Month 4-7). Start $7/day, scale winners.</t>
        </is>
      </c>
      <c r="F14" s="5" t="inlineStr">
        <is>
          <t>Video ads using influencer UGC content</t>
        </is>
      </c>
    </row>
    <row r="15" ht="32" customHeight="1">
      <c r="A15" s="7" t="inlineStr">
        <is>
          <t>Google Ads (Shopping + Search)</t>
        </is>
      </c>
      <c r="B15" s="8" t="inlineStr">
        <is>
          <t>P6</t>
        </is>
      </c>
      <c r="C15" s="8" t="inlineStr">
        <is>
          <t>$350</t>
        </is>
      </c>
      <c r="D15" s="8" t="inlineStr">
        <is>
          <t>3.5%</t>
        </is>
      </c>
      <c r="E15" s="8" t="inlineStr">
        <is>
          <t>$150/mo × ~2.3 months (Month 5-7). Shopping campaign priority.</t>
        </is>
      </c>
      <c r="F15" s="8" t="inlineStr">
        <is>
          <t>High-intent buyers searching "running belt"</t>
        </is>
      </c>
    </row>
    <row r="16" ht="32" customHeight="1">
      <c r="A16" s="4" t="inlineStr">
        <is>
          <t>Running Events (2-3 local)</t>
        </is>
      </c>
      <c r="B16" s="5" t="inlineStr">
        <is>
          <t>P5</t>
        </is>
      </c>
      <c r="C16" s="5" t="inlineStr">
        <is>
          <t>$300</t>
        </is>
      </c>
      <c r="D16" s="5" t="inlineStr">
        <is>
          <t>3.0%</t>
        </is>
      </c>
      <c r="E16" s="5" t="inlineStr">
        <is>
          <t>Event fees ($50-100 × 2) + travel ($100) + display materials ($50)</t>
        </is>
      </c>
      <c r="F16" s="5" t="inlineStr">
        <is>
          <t>Direct customer contact. SPIbelt's original growth strategy.</t>
        </is>
      </c>
    </row>
    <row r="17" ht="32" customHeight="1">
      <c r="A17" s="7" t="inlineStr">
        <is>
          <t>Content Creation Tools</t>
        </is>
      </c>
      <c r="B17" s="8" t="inlineStr">
        <is>
          <t>P5</t>
        </is>
      </c>
      <c r="C17" s="8" t="inlineStr">
        <is>
          <t>$100</t>
        </is>
      </c>
      <c r="D17" s="8" t="inlineStr">
        <is>
          <t>1.0%</t>
        </is>
      </c>
      <c r="E17" s="8" t="inlineStr">
        <is>
          <t>Ring light ($25), phone tripod ($15), props ($30), editing app ($30)</t>
        </is>
      </c>
      <c r="F17" s="8" t="inlineStr">
        <is>
          <t>DIY content creation setup for TikTok/Reels</t>
        </is>
      </c>
    </row>
    <row r="18" ht="32" customHeight="1">
      <c r="A18" s="4" t="inlineStr">
        <is>
          <t>PR &amp; Media Seeding</t>
        </is>
      </c>
      <c r="B18" s="5" t="inlineStr">
        <is>
          <t>P5</t>
        </is>
      </c>
      <c r="C18" s="5" t="inlineStr">
        <is>
          <t>$150</t>
        </is>
      </c>
      <c r="D18" s="5" t="inlineStr">
        <is>
          <t>1.5%</t>
        </is>
      </c>
      <c r="E18" s="5" t="inlineStr">
        <is>
          <t>5-10 product samples to running gear reviewers + shipping</t>
        </is>
      </c>
      <c r="F18" s="5" t="inlineStr">
        <is>
          <t>Even 1 review from Trail &amp; Kale = hundreds of sales</t>
        </is>
      </c>
    </row>
    <row r="19" ht="24" customHeight="1">
      <c r="A19" s="6" t="inlineStr"/>
      <c r="B19" s="6" t="inlineStr">
        <is>
          <t>SUBTOTAL: MARKETING</t>
        </is>
      </c>
      <c r="C19" s="6" t="inlineStr">
        <is>
          <t>$2,000</t>
        </is>
      </c>
      <c r="D19" s="6" t="inlineStr">
        <is>
          <t>20.0%</t>
        </is>
      </c>
      <c r="E19" s="6" t="inlineStr"/>
      <c r="F19" s="6" t="inlineStr"/>
    </row>
    <row r="20" ht="6" customHeight="1"/>
    <row r="21" ht="22" customHeight="1">
      <c r="A21" s="9" t="inlineStr">
        <is>
          <t>E-COMMERCE &amp; TECHNOLOGY (5%)</t>
        </is>
      </c>
    </row>
    <row r="22" ht="32" customHeight="1">
      <c r="A22" s="4" t="inlineStr">
        <is>
          <t>Shopify Basic (6 months)</t>
        </is>
      </c>
      <c r="B22" s="5" t="inlineStr">
        <is>
          <t>P4</t>
        </is>
      </c>
      <c r="C22" s="5" t="inlineStr">
        <is>
          <t>$174</t>
        </is>
      </c>
      <c r="D22" s="5" t="inlineStr">
        <is>
          <t>1.7%</t>
        </is>
      </c>
      <c r="E22" s="5" t="inlineStr">
        <is>
          <t>$29/mo × 6 months (or $1/mo trial × 3 + $29 × 3 = $90)</t>
        </is>
      </c>
      <c r="F22" s="5" t="inlineStr">
        <is>
          <t>Core platform. Use Dawn free theme.</t>
        </is>
      </c>
    </row>
    <row r="23" ht="32" customHeight="1">
      <c r="A23" s="7" t="inlineStr">
        <is>
          <t>Domain Registration</t>
        </is>
      </c>
      <c r="B23" s="8" t="inlineStr">
        <is>
          <t>P1</t>
        </is>
      </c>
      <c r="C23" s="8" t="inlineStr">
        <is>
          <t>$15</t>
        </is>
      </c>
      <c r="D23" s="8" t="inlineStr">
        <is>
          <t>0.2%</t>
        </is>
      </c>
      <c r="E23" s="8" t="inlineStr">
        <is>
          <t>.com domain for 1 year</t>
        </is>
      </c>
      <c r="F23" s="8" t="inlineStr">
        <is>
          <t>Register immediately after name selection</t>
        </is>
      </c>
    </row>
    <row r="24" ht="32" customHeight="1">
      <c r="A24" s="4" t="inlineStr">
        <is>
          <t>Canva Pro (6 months)</t>
        </is>
      </c>
      <c r="B24" s="5" t="inlineStr">
        <is>
          <t>P1</t>
        </is>
      </c>
      <c r="C24" s="5" t="inlineStr">
        <is>
          <t>$78</t>
        </is>
      </c>
      <c r="D24" s="5" t="inlineStr">
        <is>
          <t>0.8%</t>
        </is>
      </c>
      <c r="E24" s="5" t="inlineStr">
        <is>
          <t>$13/mo × 6 months for brand design + social media</t>
        </is>
      </c>
      <c r="F24" s="5" t="inlineStr">
        <is>
          <t>Logo, social posts, product graphics, packaging design</t>
        </is>
      </c>
    </row>
    <row r="25" ht="32" customHeight="1">
      <c r="A25" s="7" t="inlineStr">
        <is>
          <t>Email Tools (Klaviyo free → paid)</t>
        </is>
      </c>
      <c r="B25" s="8" t="inlineStr">
        <is>
          <t>P4</t>
        </is>
      </c>
      <c r="C25" s="8" t="inlineStr">
        <is>
          <t>$60</t>
        </is>
      </c>
      <c r="D25" s="8" t="inlineStr">
        <is>
          <t>0.6%</t>
        </is>
      </c>
      <c r="E25" s="8" t="inlineStr">
        <is>
          <t>Free for first 250 contacts, then $20/mo for months 5-7</t>
        </is>
      </c>
      <c r="F25" s="8" t="inlineStr">
        <is>
          <t>Email drives 30%+ of D2C revenue</t>
        </is>
      </c>
    </row>
    <row r="26" ht="32" customHeight="1">
      <c r="A26" s="4" t="inlineStr">
        <is>
          <t>Analytics (all free)</t>
        </is>
      </c>
      <c r="B26" s="5" t="inlineStr">
        <is>
          <t>P4</t>
        </is>
      </c>
      <c r="C26" s="5" t="inlineStr">
        <is>
          <t>$0</t>
        </is>
      </c>
      <c r="D26" s="5" t="inlineStr">
        <is>
          <t>0%</t>
        </is>
      </c>
      <c r="E26" s="5" t="inlineStr">
        <is>
          <t>GA4 ($0), Meta Pixel ($0), Hotjar free ($0), GSC ($0)</t>
        </is>
      </c>
      <c r="F26" s="5" t="inlineStr">
        <is>
          <t>All essential analytics are free tier</t>
        </is>
      </c>
    </row>
    <row r="27" ht="32" customHeight="1">
      <c r="A27" s="7" t="inlineStr">
        <is>
          <t>Review App (Judge.me free)</t>
        </is>
      </c>
      <c r="B27" s="8" t="inlineStr">
        <is>
          <t>P9</t>
        </is>
      </c>
      <c r="C27" s="8" t="inlineStr">
        <is>
          <t>$0</t>
        </is>
      </c>
      <c r="D27" s="8" t="inlineStr">
        <is>
          <t>0%</t>
        </is>
      </c>
      <c r="E27" s="8" t="inlineStr">
        <is>
          <t>Free tier is sufficient for first 6 months</t>
        </is>
      </c>
      <c r="F27" s="8" t="inlineStr">
        <is>
          <t>Upgrade to paid ($15/mo) when volume warrants</t>
        </is>
      </c>
    </row>
    <row r="28" ht="24" customHeight="1">
      <c r="A28" s="6" t="inlineStr"/>
      <c r="B28" s="6" t="inlineStr">
        <is>
          <t>SUBTOTAL: E-COMMERCE</t>
        </is>
      </c>
      <c r="C28" s="6" t="inlineStr">
        <is>
          <t>$327</t>
        </is>
      </c>
      <c r="D28" s="6" t="inlineStr">
        <is>
          <t>3.3%</t>
        </is>
      </c>
      <c r="E28" s="6" t="inlineStr"/>
      <c r="F28" s="6" t="inlineStr">
        <is>
          <t>Under budget — most tools are free tier</t>
        </is>
      </c>
    </row>
    <row r="29" ht="6" customHeight="1"/>
    <row r="30" ht="22" customHeight="1">
      <c r="A30" s="9" t="inlineStr">
        <is>
          <t>LEGAL &amp; IP PROTECTION (6%)</t>
        </is>
      </c>
    </row>
    <row r="31" ht="32" customHeight="1">
      <c r="A31" s="7" t="inlineStr">
        <is>
          <t>LLC Formation</t>
        </is>
      </c>
      <c r="B31" s="8" t="inlineStr">
        <is>
          <t>P8</t>
        </is>
      </c>
      <c r="C31" s="8" t="inlineStr">
        <is>
          <t>$150</t>
        </is>
      </c>
      <c r="D31" s="8" t="inlineStr">
        <is>
          <t>1.5%</t>
        </is>
      </c>
      <c r="E31" s="8" t="inlineStr">
        <is>
          <t>State filing fee ($100-150) or Stripe Atlas ($500 for US LLC)</t>
        </is>
      </c>
      <c r="F31" s="8" t="inlineStr">
        <is>
          <t>Form immediately — needed for bank account + Shopify</t>
        </is>
      </c>
    </row>
    <row r="32" ht="32" customHeight="1">
      <c r="A32" s="4" t="inlineStr">
        <is>
          <t>USPTO Trademark (Class 028)</t>
        </is>
      </c>
      <c r="B32" s="5" t="inlineStr">
        <is>
          <t>P8</t>
        </is>
      </c>
      <c r="C32" s="5" t="inlineStr">
        <is>
          <t>$250</t>
        </is>
      </c>
      <c r="D32" s="5" t="inlineStr">
        <is>
          <t>2.5%</t>
        </is>
      </c>
      <c r="E32" s="5" t="inlineStr">
        <is>
          <t>TEAS Plus filing for brand name</t>
        </is>
      </c>
      <c r="F32" s="5" t="inlineStr">
        <is>
          <t>File as soon as name is confirmed. Use ™ immediately.</t>
        </is>
      </c>
    </row>
    <row r="33" ht="32" customHeight="1">
      <c r="A33" s="7" t="inlineStr">
        <is>
          <t>Business Insurance (product liability)</t>
        </is>
      </c>
      <c r="B33" s="8" t="inlineStr">
        <is>
          <t>P8</t>
        </is>
      </c>
      <c r="C33" s="8" t="inlineStr">
        <is>
          <t>$200</t>
        </is>
      </c>
      <c r="D33" s="8" t="inlineStr">
        <is>
          <t>2.0%</t>
        </is>
      </c>
      <c r="E33" s="8" t="inlineStr">
        <is>
          <t>Basic product liability policy for 1 year</t>
        </is>
      </c>
      <c r="F33" s="8" t="inlineStr">
        <is>
          <t>Recommended but can defer 2-3 months if cash is tight</t>
        </is>
      </c>
    </row>
    <row r="34" ht="24" customHeight="1">
      <c r="A34" s="6" t="inlineStr"/>
      <c r="B34" s="6" t="inlineStr">
        <is>
          <t>SUBTOTAL: LEGAL</t>
        </is>
      </c>
      <c r="C34" s="6" t="inlineStr">
        <is>
          <t>$600</t>
        </is>
      </c>
      <c r="D34" s="6" t="inlineStr">
        <is>
          <t>6.0%</t>
        </is>
      </c>
      <c r="E34" s="6" t="inlineStr"/>
      <c r="F34" s="6" t="inlineStr"/>
    </row>
    <row r="35" ht="6" customHeight="1"/>
    <row r="36" ht="22" customHeight="1">
      <c r="A36" s="9" t="inlineStr">
        <is>
          <t>CONTINGENCY &amp; BUFFER (30%)</t>
        </is>
      </c>
    </row>
    <row r="37" ht="32" customHeight="1">
      <c r="A37" s="7" t="inlineStr">
        <is>
          <t>Emergency / Unexpected Costs</t>
        </is>
      </c>
      <c r="B37" s="8" t="inlineStr">
        <is>
          <t>All</t>
        </is>
      </c>
      <c r="C37" s="8" t="inlineStr">
        <is>
          <t>$1,500</t>
        </is>
      </c>
      <c r="D37" s="8" t="inlineStr">
        <is>
          <t>15.0%</t>
        </is>
      </c>
      <c r="E37" s="8" t="inlineStr">
        <is>
          <t>Production delays, defects, shipping issues, platform fees, unexpected expenses</t>
        </is>
      </c>
      <c r="F37" s="8" t="inlineStr">
        <is>
          <t>Murphy's Law fund. DO NOT touch unless genuinely needed.</t>
        </is>
      </c>
    </row>
    <row r="38" ht="32" customHeight="1">
      <c r="A38" s="4" t="inlineStr">
        <is>
          <t>Growth Acceleration Fund</t>
        </is>
      </c>
      <c r="B38" s="5" t="inlineStr">
        <is>
          <t>All</t>
        </is>
      </c>
      <c r="C38" s="5" t="inlineStr">
        <is>
          <t>$1,000</t>
        </is>
      </c>
      <c r="D38" s="5" t="inlineStr">
        <is>
          <t>10.0%</t>
        </is>
      </c>
      <c r="E38" s="5" t="inlineStr">
        <is>
          <t>Available to scale winning ad campaigns, reorder fast-selling SKUs, or seize opportunities</t>
        </is>
      </c>
      <c r="F38" s="5" t="inlineStr">
        <is>
          <t>Only deploy when you have data showing clear ROI</t>
        </is>
      </c>
    </row>
    <row r="39" ht="32" customHeight="1">
      <c r="A39" s="7" t="inlineStr">
        <is>
          <t>Personal Runway Buffer</t>
        </is>
      </c>
      <c r="B39" s="8" t="inlineStr">
        <is>
          <t>—</t>
        </is>
      </c>
      <c r="C39" s="8" t="inlineStr">
        <is>
          <t>$500</t>
        </is>
      </c>
      <c r="D39" s="8" t="inlineStr">
        <is>
          <t>5.0%</t>
        </is>
      </c>
      <c r="E39" s="8" t="inlineStr">
        <is>
          <t>Founder living expenses buffer if this is your sole income source</t>
        </is>
      </c>
      <c r="F39" s="8" t="inlineStr">
        <is>
          <t>Psychological safety net. Reduces panic-driven decisions.</t>
        </is>
      </c>
    </row>
    <row r="40" ht="24" customHeight="1">
      <c r="A40" s="6" t="inlineStr"/>
      <c r="B40" s="6" t="inlineStr">
        <is>
          <t>SUBTOTAL: CONTINGENCY</t>
        </is>
      </c>
      <c r="C40" s="6" t="inlineStr">
        <is>
          <t>$3,000</t>
        </is>
      </c>
      <c r="D40" s="6" t="inlineStr">
        <is>
          <t>30.0%</t>
        </is>
      </c>
      <c r="E40" s="6" t="inlineStr"/>
      <c r="F40" s="6" t="inlineStr">
        <is>
          <t>30% contingency is conservative but critical for bootstrapped brand</t>
        </is>
      </c>
    </row>
    <row r="41" ht="6" customHeight="1"/>
    <row r="42" ht="24" customHeight="1">
      <c r="A42" s="20" t="inlineStr">
        <is>
          <t>GRAND TOTAL</t>
        </is>
      </c>
      <c r="B42" s="20" t="inlineStr">
        <is>
          <t>ALL PROJECTS</t>
        </is>
      </c>
      <c r="C42" s="20" t="inlineStr">
        <is>
          <t>$10,000</t>
        </is>
      </c>
      <c r="D42" s="20" t="inlineStr">
        <is>
          <t>100%</t>
        </is>
      </c>
      <c r="E42" s="20" t="inlineStr">
        <is>
          <t>Every dollar allocated to specific deliverables</t>
        </is>
      </c>
      <c r="F42" s="20" t="inlineStr">
        <is>
          <t>$442 under-allocated = absorbed into contingency</t>
        </is>
      </c>
    </row>
  </sheetData>
  <mergeCells count="7">
    <mergeCell ref="A2:F2"/>
    <mergeCell ref="A30:F30"/>
    <mergeCell ref="A36:F36"/>
    <mergeCell ref="A1:F1"/>
    <mergeCell ref="A12:F12"/>
    <mergeCell ref="A4:F4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090"/>
    <outlinePr summaryBelow="1" summaryRight="1"/>
    <pageSetUpPr/>
  </sheetPr>
  <dimension ref="A1:J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28" customWidth="1" min="9" max="9"/>
    <col width="24" customWidth="1" min="10" max="10"/>
  </cols>
  <sheetData>
    <row r="1" ht="28" customHeight="1">
      <c r="A1" s="1" t="inlineStr">
        <is>
          <t>TASK 0E.05: 6-MONTH REVENUE TARGETS — CONSERVATIVE / MODERATE / AGGRESSIVE</t>
        </is>
      </c>
    </row>
    <row r="2" ht="20" customHeight="1">
      <c r="A2" s="2" t="inlineStr">
        <is>
          <t>KPI: 3 scenarios modeled  |  STATUS: COMPLETE  |  Planning Target: MODERATE</t>
        </is>
      </c>
    </row>
    <row r="3" ht="24" customHeight="1">
      <c r="A3" s="3" t="inlineStr">
        <is>
          <t>Metric</t>
        </is>
      </c>
      <c r="B3" s="3" t="inlineStr">
        <is>
          <t>Month 1</t>
        </is>
      </c>
      <c r="C3" s="3" t="inlineStr">
        <is>
          <t>Month 2</t>
        </is>
      </c>
      <c r="D3" s="3" t="inlineStr">
        <is>
          <t>Month 3</t>
        </is>
      </c>
      <c r="E3" s="3" t="inlineStr">
        <is>
          <t>Month 4
(Launch)</t>
        </is>
      </c>
      <c r="F3" s="3" t="inlineStr">
        <is>
          <t>Month 5</t>
        </is>
      </c>
      <c r="G3" s="3" t="inlineStr">
        <is>
          <t>Month 6</t>
        </is>
      </c>
      <c r="H3" s="3" t="inlineStr">
        <is>
          <t>6-Mo Total</t>
        </is>
      </c>
      <c r="I3" s="3" t="inlineStr">
        <is>
          <t>Assumptions</t>
        </is>
      </c>
      <c r="J3" s="3" t="inlineStr">
        <is>
          <t>Key Milestone</t>
        </is>
      </c>
    </row>
    <row r="4" ht="22" customHeight="1">
      <c r="A4" s="9" t="inlineStr">
        <is>
          <t>CONSERVATIVE SCENARIO (Cautious — things go slower than planned)</t>
        </is>
      </c>
    </row>
    <row r="5" ht="24" customHeight="1">
      <c r="A5" s="4" t="inlineStr">
        <is>
          <t>Units Sold</t>
        </is>
      </c>
      <c r="B5" s="5" t="n">
        <v>0</v>
      </c>
      <c r="C5" s="5" t="n">
        <v>0</v>
      </c>
      <c r="D5" s="5" t="n">
        <v>0</v>
      </c>
      <c r="E5" s="5" t="n">
        <v>20</v>
      </c>
      <c r="F5" s="5" t="n">
        <v>50</v>
      </c>
      <c r="G5" s="5" t="n">
        <v>80</v>
      </c>
      <c r="H5" s="5" t="inlineStr">
        <is>
          <t>150</t>
        </is>
      </c>
      <c r="I5" s="5" t="inlineStr">
        <is>
          <t>Soft launch, slow word-of-mouth, limited ad spend</t>
        </is>
      </c>
      <c r="J5" s="5" t="inlineStr">
        <is>
          <t>150 units = half of first production run</t>
        </is>
      </c>
    </row>
    <row r="6" ht="24" customHeight="1">
      <c r="A6" s="7" t="inlineStr">
        <is>
          <t>Revenue</t>
        </is>
      </c>
      <c r="B6" s="8" t="n">
        <v>0</v>
      </c>
      <c r="C6" s="8" t="n">
        <v>0</v>
      </c>
      <c r="D6" s="8" t="n">
        <v>0</v>
      </c>
      <c r="E6" s="8" t="n">
        <v>700</v>
      </c>
      <c r="F6" s="8" t="n">
        <v>1750</v>
      </c>
      <c r="G6" s="8" t="n">
        <v>2799</v>
      </c>
      <c r="H6" s="8" t="inlineStr">
        <is>
          <t>$5,249</t>
        </is>
      </c>
      <c r="I6" s="8" t="inlineStr">
        <is>
          <t>$34.99 × units</t>
        </is>
      </c>
      <c r="J6" s="8" t="inlineStr">
        <is>
          <t>Just over $5K in 6 months</t>
        </is>
      </c>
    </row>
    <row r="7" ht="24" customHeight="1">
      <c r="A7" s="4" t="inlineStr">
        <is>
          <t>Variable Costs</t>
        </is>
      </c>
      <c r="B7" s="5" t="n">
        <v>0</v>
      </c>
      <c r="C7" s="5" t="n">
        <v>0</v>
      </c>
      <c r="D7" s="5" t="n">
        <v>0</v>
      </c>
      <c r="E7" s="5" t="n">
        <v>263</v>
      </c>
      <c r="F7" s="5" t="n">
        <v>658</v>
      </c>
      <c r="G7" s="5" t="n">
        <v>1053</v>
      </c>
      <c r="H7" s="5" t="inlineStr">
        <is>
          <t>$1,974</t>
        </is>
      </c>
      <c r="I7" s="5" t="inlineStr">
        <is>
          <t>COGS + ship + fees per unit</t>
        </is>
      </c>
      <c r="J7" s="5" t="inlineStr"/>
    </row>
    <row r="8" ht="24" customHeight="1">
      <c r="A8" s="7" t="inlineStr">
        <is>
          <t>Marketing Spend</t>
        </is>
      </c>
      <c r="B8" s="8" t="n">
        <v>0</v>
      </c>
      <c r="C8" s="8" t="n">
        <v>0</v>
      </c>
      <c r="D8" s="8" t="n">
        <v>100</v>
      </c>
      <c r="E8" s="8" t="n">
        <v>300</v>
      </c>
      <c r="F8" s="8" t="n">
        <v>350</v>
      </c>
      <c r="G8" s="8" t="n">
        <v>400</v>
      </c>
      <c r="H8" s="8" t="inlineStr">
        <is>
          <t>$1,150</t>
        </is>
      </c>
      <c r="I8" s="8" t="inlineStr">
        <is>
          <t>Minimal: mostly organic + small ad budget</t>
        </is>
      </c>
      <c r="J8" s="8" t="inlineStr">
        <is>
          <t>Conservative ad spend</t>
        </is>
      </c>
    </row>
    <row r="9" ht="24" customHeight="1">
      <c r="A9" s="4" t="inlineStr">
        <is>
          <t>Monthly Profit</t>
        </is>
      </c>
      <c r="B9" s="21" t="n">
        <v>-294</v>
      </c>
      <c r="C9" s="21" t="n">
        <v>-2674</v>
      </c>
      <c r="D9" s="21" t="n">
        <v>-100</v>
      </c>
      <c r="E9" s="22" t="n">
        <v>137</v>
      </c>
      <c r="F9" s="22" t="n">
        <v>742</v>
      </c>
      <c r="G9" s="22" t="n">
        <v>1346</v>
      </c>
      <c r="H9" s="5" t="inlineStr"/>
      <c r="I9" s="5" t="inlineStr">
        <is>
          <t>Revenue - all costs</t>
        </is>
      </c>
      <c r="J9" s="5" t="inlineStr">
        <is>
          <t>First profit in Month 4</t>
        </is>
      </c>
    </row>
    <row r="10" ht="24" customHeight="1">
      <c r="A10" s="6" t="inlineStr">
        <is>
          <t>Cumulative Cash</t>
        </is>
      </c>
      <c r="B10" s="6" t="n">
        <v>9706</v>
      </c>
      <c r="C10" s="6" t="n">
        <v>7032</v>
      </c>
      <c r="D10" s="6" t="n">
        <v>6932</v>
      </c>
      <c r="E10" s="6" t="n">
        <v>7069</v>
      </c>
      <c r="F10" s="6" t="n">
        <v>7811</v>
      </c>
      <c r="G10" s="6" t="n">
        <v>9157</v>
      </c>
      <c r="H10" s="6" t="inlineStr">
        <is>
          <t>$9,157</t>
        </is>
      </c>
      <c r="I10" s="6" t="inlineStr">
        <is>
          <t>Starting $10K minus cumulative costs</t>
        </is>
      </c>
      <c r="J10" s="6" t="inlineStr">
        <is>
          <t>Ending below starting capital — still viable</t>
        </is>
      </c>
    </row>
    <row r="11" ht="6" customHeight="1"/>
    <row r="12" ht="22" customHeight="1">
      <c r="A12" s="9" t="inlineStr">
        <is>
          <t>MODERATE SCENARIO (Planning Target — realistic growth with execution)</t>
        </is>
      </c>
    </row>
    <row r="13" ht="24" customHeight="1">
      <c r="A13" s="4" t="inlineStr">
        <is>
          <t>Units Sold</t>
        </is>
      </c>
      <c r="B13" s="5" t="n">
        <v>0</v>
      </c>
      <c r="C13" s="5" t="n">
        <v>0</v>
      </c>
      <c r="D13" s="5" t="n">
        <v>0</v>
      </c>
      <c r="E13" s="5" t="n">
        <v>40</v>
      </c>
      <c r="F13" s="5" t="n">
        <v>80</v>
      </c>
      <c r="G13" s="5" t="n">
        <v>120</v>
      </c>
      <c r="H13" s="5" t="inlineStr">
        <is>
          <t>240</t>
        </is>
      </c>
      <c r="I13" s="5" t="inlineStr">
        <is>
          <t>Strong launch, influencer content drives discovery, ads optimized</t>
        </is>
      </c>
      <c r="J13" s="5" t="inlineStr">
        <is>
          <t>240 units = 80% of first run by Month 6</t>
        </is>
      </c>
    </row>
    <row r="14" ht="24" customHeight="1">
      <c r="A14" s="7" t="inlineStr">
        <is>
          <t>Revenue</t>
        </is>
      </c>
      <c r="B14" s="8" t="n">
        <v>0</v>
      </c>
      <c r="C14" s="8" t="n">
        <v>0</v>
      </c>
      <c r="D14" s="8" t="n">
        <v>0</v>
      </c>
      <c r="E14" s="8" t="n">
        <v>1400</v>
      </c>
      <c r="F14" s="8" t="n">
        <v>2799</v>
      </c>
      <c r="G14" s="8" t="n">
        <v>4199</v>
      </c>
      <c r="H14" s="8" t="inlineStr">
        <is>
          <t>$8,398</t>
        </is>
      </c>
      <c r="I14" s="8" t="inlineStr">
        <is>
          <t>$34.99 × units</t>
        </is>
      </c>
      <c r="J14" s="8" t="inlineStr">
        <is>
          <t>$8.4K revenue in 6 months</t>
        </is>
      </c>
    </row>
    <row r="15" ht="24" customHeight="1">
      <c r="A15" s="4" t="inlineStr">
        <is>
          <t>Variable Costs</t>
        </is>
      </c>
      <c r="B15" s="5" t="n">
        <v>0</v>
      </c>
      <c r="C15" s="5" t="n">
        <v>0</v>
      </c>
      <c r="D15" s="5" t="n">
        <v>0</v>
      </c>
      <c r="E15" s="5" t="n">
        <v>526</v>
      </c>
      <c r="F15" s="5" t="n">
        <v>1053</v>
      </c>
      <c r="G15" s="5" t="n">
        <v>1579</v>
      </c>
      <c r="H15" s="5" t="inlineStr">
        <is>
          <t>$3,158</t>
        </is>
      </c>
      <c r="I15" s="5" t="inlineStr">
        <is>
          <t>COGS + ship + fees per unit</t>
        </is>
      </c>
      <c r="J15" s="5" t="inlineStr"/>
    </row>
    <row r="16" ht="24" customHeight="1">
      <c r="A16" s="7" t="inlineStr">
        <is>
          <t>Marketing Spend</t>
        </is>
      </c>
      <c r="B16" s="8" t="n">
        <v>0</v>
      </c>
      <c r="C16" s="8" t="n">
        <v>0</v>
      </c>
      <c r="D16" s="8" t="n">
        <v>150</v>
      </c>
      <c r="E16" s="8" t="n">
        <v>500</v>
      </c>
      <c r="F16" s="8" t="n">
        <v>550</v>
      </c>
      <c r="G16" s="8" t="n">
        <v>700</v>
      </c>
      <c r="H16" s="8" t="inlineStr">
        <is>
          <t>$1,900</t>
        </is>
      </c>
      <c r="I16" s="8" t="inlineStr">
        <is>
          <t>Balanced: influencers + ads + events</t>
        </is>
      </c>
      <c r="J16" s="8" t="inlineStr">
        <is>
          <t>Scale what works, cut what doesn't</t>
        </is>
      </c>
    </row>
    <row r="17" ht="24" customHeight="1">
      <c r="A17" s="4" t="inlineStr">
        <is>
          <t>Monthly Profit</t>
        </is>
      </c>
      <c r="B17" s="21" t="n">
        <v>-294</v>
      </c>
      <c r="C17" s="21" t="n">
        <v>-2674</v>
      </c>
      <c r="D17" s="21" t="n">
        <v>-150</v>
      </c>
      <c r="E17" s="22" t="n">
        <v>374</v>
      </c>
      <c r="F17" s="22" t="n">
        <v>1196</v>
      </c>
      <c r="G17" s="22" t="n">
        <v>1920</v>
      </c>
      <c r="H17" s="5" t="inlineStr"/>
      <c r="I17" s="5" t="inlineStr">
        <is>
          <t>Revenue - all costs</t>
        </is>
      </c>
      <c r="J17" s="5" t="inlineStr">
        <is>
          <t>Accelerating profit each month</t>
        </is>
      </c>
    </row>
    <row r="18" ht="24" customHeight="1">
      <c r="A18" s="6" t="inlineStr">
        <is>
          <t>Cumulative Cash</t>
        </is>
      </c>
      <c r="B18" s="6" t="n">
        <v>9706</v>
      </c>
      <c r="C18" s="6" t="n">
        <v>7032</v>
      </c>
      <c r="D18" s="6" t="n">
        <v>6882</v>
      </c>
      <c r="E18" s="6" t="n">
        <v>7256</v>
      </c>
      <c r="F18" s="6" t="n">
        <v>8452</v>
      </c>
      <c r="G18" s="6" t="n">
        <v>10372</v>
      </c>
      <c r="H18" s="6" t="inlineStr">
        <is>
          <t>$10,372</t>
        </is>
      </c>
      <c r="I18" s="6" t="inlineStr">
        <is>
          <t>Starting $10K</t>
        </is>
      </c>
      <c r="J18" s="6" t="inlineStr">
        <is>
          <t>Exceeds starting capital in Month 6! ✓</t>
        </is>
      </c>
    </row>
    <row r="19" ht="6" customHeight="1"/>
    <row r="20" ht="22" customHeight="1">
      <c r="A20" s="9" t="inlineStr">
        <is>
          <t>AGGRESSIVE SCENARIO (Everything clicks — viral content, strong demand)</t>
        </is>
      </c>
    </row>
    <row r="21" ht="24" customHeight="1">
      <c r="A21" s="4" t="inlineStr">
        <is>
          <t>Units Sold</t>
        </is>
      </c>
      <c r="B21" s="5" t="n">
        <v>0</v>
      </c>
      <c r="C21" s="5" t="n">
        <v>0</v>
      </c>
      <c r="D21" s="5" t="n">
        <v>0</v>
      </c>
      <c r="E21" s="5" t="n">
        <v>80</v>
      </c>
      <c r="F21" s="5" t="n">
        <v>150</v>
      </c>
      <c r="G21" s="5" t="n">
        <v>250</v>
      </c>
      <c r="H21" s="5" t="inlineStr">
        <is>
          <t>480</t>
        </is>
      </c>
      <c r="I21" s="5" t="inlineStr">
        <is>
          <t>Viral TikTok, influencer content explodes, strong ad performance</t>
        </is>
      </c>
      <c r="J21" s="5" t="inlineStr">
        <is>
          <t>480 units = sells out + reorder</t>
        </is>
      </c>
    </row>
    <row r="22" ht="24" customHeight="1">
      <c r="A22" s="7" t="inlineStr">
        <is>
          <t>Revenue</t>
        </is>
      </c>
      <c r="B22" s="8" t="n">
        <v>0</v>
      </c>
      <c r="C22" s="8" t="n">
        <v>0</v>
      </c>
      <c r="D22" s="8" t="n">
        <v>0</v>
      </c>
      <c r="E22" s="8" t="n">
        <v>2799</v>
      </c>
      <c r="F22" s="8" t="n">
        <v>5249</v>
      </c>
      <c r="G22" s="8" t="n">
        <v>8748</v>
      </c>
      <c r="H22" s="8" t="inlineStr">
        <is>
          <t>$16,796</t>
        </is>
      </c>
      <c r="I22" s="8" t="inlineStr">
        <is>
          <t>$34.99 × units</t>
        </is>
      </c>
      <c r="J22" s="8" t="inlineStr">
        <is>
          <t>Nearly $17K revenue in 6 months</t>
        </is>
      </c>
    </row>
    <row r="23" ht="24" customHeight="1">
      <c r="A23" s="4" t="inlineStr">
        <is>
          <t>Variable Costs</t>
        </is>
      </c>
      <c r="B23" s="5" t="n">
        <v>0</v>
      </c>
      <c r="C23" s="5" t="n">
        <v>0</v>
      </c>
      <c r="D23" s="5" t="n">
        <v>0</v>
      </c>
      <c r="E23" s="5" t="n">
        <v>1053</v>
      </c>
      <c r="F23" s="5" t="n">
        <v>1974</v>
      </c>
      <c r="G23" s="5" t="n">
        <v>3290</v>
      </c>
      <c r="H23" s="5" t="inlineStr">
        <is>
          <t>$6,317</t>
        </is>
      </c>
      <c r="I23" s="5" t="inlineStr">
        <is>
          <t>COGS + ship + fees per unit</t>
        </is>
      </c>
      <c r="J23" s="5" t="inlineStr">
        <is>
          <t>Need to reorder inventory by Month 5</t>
        </is>
      </c>
    </row>
    <row r="24" ht="24" customHeight="1">
      <c r="A24" s="7" t="inlineStr">
        <is>
          <t>Marketing Spend</t>
        </is>
      </c>
      <c r="B24" s="8" t="n">
        <v>0</v>
      </c>
      <c r="C24" s="8" t="n">
        <v>0</v>
      </c>
      <c r="D24" s="8" t="n">
        <v>200</v>
      </c>
      <c r="E24" s="8" t="n">
        <v>600</v>
      </c>
      <c r="F24" s="8" t="n">
        <v>800</v>
      </c>
      <c r="G24" s="8" t="n">
        <v>1000</v>
      </c>
      <c r="H24" s="8" t="inlineStr">
        <is>
          <t>$2,600</t>
        </is>
      </c>
      <c r="I24" s="8" t="inlineStr">
        <is>
          <t>Aggressive: scale winning ads, more influencers</t>
        </is>
      </c>
      <c r="J24" s="8" t="inlineStr">
        <is>
          <t>Higher spend justified by proven ROAS</t>
        </is>
      </c>
    </row>
    <row r="25" ht="24" customHeight="1">
      <c r="A25" s="4" t="inlineStr">
        <is>
          <t>Monthly Profit</t>
        </is>
      </c>
      <c r="B25" s="21" t="n">
        <v>-294</v>
      </c>
      <c r="C25" s="21" t="n">
        <v>-2674</v>
      </c>
      <c r="D25" s="21" t="n">
        <v>-200</v>
      </c>
      <c r="E25" s="22" t="n">
        <v>1146</v>
      </c>
      <c r="F25" s="22" t="n">
        <v>2475</v>
      </c>
      <c r="G25" s="22" t="n">
        <v>4458</v>
      </c>
      <c r="H25" s="5" t="inlineStr"/>
      <c r="I25" s="5" t="inlineStr">
        <is>
          <t>Revenue - all costs</t>
        </is>
      </c>
      <c r="J25" s="5" t="inlineStr">
        <is>
          <t>Strong monthly profit by Month 5</t>
        </is>
      </c>
    </row>
    <row r="26" ht="24" customHeight="1">
      <c r="A26" s="6" t="inlineStr">
        <is>
          <t>Cumulative Cash</t>
        </is>
      </c>
      <c r="B26" s="6" t="n">
        <v>9706</v>
      </c>
      <c r="C26" s="6" t="n">
        <v>7032</v>
      </c>
      <c r="D26" s="6" t="n">
        <v>6832</v>
      </c>
      <c r="E26" s="6" t="n">
        <v>7978</v>
      </c>
      <c r="F26" s="6" t="n">
        <v>10453</v>
      </c>
      <c r="G26" s="6" t="n">
        <v>14911</v>
      </c>
      <c r="H26" s="6" t="inlineStr">
        <is>
          <t>$14,911</t>
        </is>
      </c>
      <c r="I26" s="6" t="inlineStr">
        <is>
          <t>Starting $10K</t>
        </is>
      </c>
      <c r="J26" s="6" t="inlineStr">
        <is>
          <t>$4,911 profit in 6 months. Fund growth.</t>
        </is>
      </c>
    </row>
    <row r="27" ht="6" customHeight="1"/>
    <row r="28" ht="22" customHeight="1">
      <c r="A28" s="9" t="inlineStr">
        <is>
          <t>SCENARIO COMPARISON</t>
        </is>
      </c>
    </row>
    <row r="29" ht="6" customHeight="1"/>
    <row r="30" ht="24" customHeight="1">
      <c r="A30" s="6" t="inlineStr">
        <is>
          <t>Total Units (6 months)</t>
        </is>
      </c>
      <c r="B30" s="6" t="inlineStr">
        <is>
          <t>150</t>
        </is>
      </c>
      <c r="C30" s="6" t="inlineStr">
        <is>
          <t>240</t>
        </is>
      </c>
      <c r="D30" s="6" t="inlineStr">
        <is>
          <t>480</t>
        </is>
      </c>
      <c r="E30" s="6" t="inlineStr"/>
      <c r="F30" s="6" t="inlineStr"/>
      <c r="G30" s="6" t="inlineStr"/>
      <c r="H30" s="6" t="inlineStr"/>
      <c r="I30" s="6" t="inlineStr"/>
      <c r="J30" s="6" t="inlineStr"/>
    </row>
    <row r="31" ht="24" customHeight="1">
      <c r="A31" s="6" t="inlineStr">
        <is>
          <t>Total Revenue</t>
        </is>
      </c>
      <c r="B31" s="6" t="inlineStr">
        <is>
          <t>$5,249</t>
        </is>
      </c>
      <c r="C31" s="6" t="inlineStr">
        <is>
          <t>$8,398</t>
        </is>
      </c>
      <c r="D31" s="6" t="inlineStr">
        <is>
          <t>$16,796</t>
        </is>
      </c>
      <c r="E31" s="6" t="inlineStr"/>
      <c r="F31" s="6" t="inlineStr"/>
      <c r="G31" s="6" t="inlineStr"/>
      <c r="H31" s="6" t="inlineStr"/>
      <c r="I31" s="6" t="inlineStr"/>
      <c r="J31" s="6" t="inlineStr"/>
    </row>
    <row r="32" ht="24" customHeight="1">
      <c r="A32" s="6" t="inlineStr">
        <is>
          <t>Ending Cash</t>
        </is>
      </c>
      <c r="B32" s="6" t="inlineStr">
        <is>
          <t>$9,157</t>
        </is>
      </c>
      <c r="C32" s="6" t="inlineStr">
        <is>
          <t>$10,372</t>
        </is>
      </c>
      <c r="D32" s="6" t="inlineStr">
        <is>
          <t>$14,911</t>
        </is>
      </c>
      <c r="E32" s="6" t="inlineStr"/>
      <c r="F32" s="6" t="inlineStr"/>
      <c r="G32" s="6" t="inlineStr"/>
      <c r="H32" s="6" t="inlineStr"/>
      <c r="I32" s="6" t="inlineStr"/>
      <c r="J32" s="6" t="inlineStr"/>
    </row>
    <row r="33" ht="24" customHeight="1">
      <c r="A33" s="6" t="inlineStr">
        <is>
          <t>Profit vs $10K Start</t>
        </is>
      </c>
      <c r="B33" s="6" t="inlineStr">
        <is>
          <t>-$843</t>
        </is>
      </c>
      <c r="C33" s="6" t="inlineStr">
        <is>
          <t>+$372</t>
        </is>
      </c>
      <c r="D33" s="6" t="inlineStr">
        <is>
          <t>+$4,911</t>
        </is>
      </c>
      <c r="E33" s="6" t="inlineStr"/>
      <c r="F33" s="6" t="inlineStr"/>
      <c r="G33" s="6" t="inlineStr"/>
      <c r="H33" s="6" t="inlineStr"/>
      <c r="I33" s="6" t="inlineStr"/>
      <c r="J33" s="6" t="inlineStr"/>
    </row>
    <row r="34" ht="24" customHeight="1">
      <c r="A34" s="6" t="inlineStr">
        <is>
          <t>Breakeven Month</t>
        </is>
      </c>
      <c r="B34" s="6" t="inlineStr">
        <is>
          <t>Month 7-8</t>
        </is>
      </c>
      <c r="C34" s="6" t="inlineStr">
        <is>
          <t>Month 6</t>
        </is>
      </c>
      <c r="D34" s="6" t="inlineStr">
        <is>
          <t>Month 5</t>
        </is>
      </c>
      <c r="E34" s="6" t="inlineStr"/>
      <c r="F34" s="6" t="inlineStr"/>
      <c r="G34" s="6" t="inlineStr"/>
      <c r="H34" s="6" t="inlineStr"/>
      <c r="I34" s="6" t="inlineStr"/>
      <c r="J34" s="6" t="inlineStr"/>
    </row>
    <row r="35" ht="24" customHeight="1">
      <c r="A35" s="4" t="inlineStr">
        <is>
          <t>Inventory Status</t>
        </is>
      </c>
      <c r="B35" s="5" t="inlineStr">
        <is>
          <t>150 remaining</t>
        </is>
      </c>
      <c r="C35" s="5" t="inlineStr">
        <is>
          <t>60 remaining</t>
        </is>
      </c>
      <c r="D35" s="5" t="inlineStr">
        <is>
          <t>Need reorder Mo 5</t>
        </is>
      </c>
      <c r="E35" s="5" t="inlineStr"/>
      <c r="F35" s="5" t="inlineStr"/>
      <c r="G35" s="5" t="inlineStr"/>
      <c r="H35" s="5" t="inlineStr"/>
      <c r="I35" s="5" t="inlineStr"/>
      <c r="J35" s="5" t="inlineStr"/>
    </row>
    <row r="36" ht="24" customHeight="1">
      <c r="A36" s="7" t="inlineStr">
        <is>
          <t>Risk Level</t>
        </is>
      </c>
      <c r="B36" s="8" t="inlineStr">
        <is>
          <t>Low risk — survives easily</t>
        </is>
      </c>
      <c r="C36" s="8" t="inlineStr">
        <is>
          <t>Moderate — on track</t>
        </is>
      </c>
      <c r="D36" s="8" t="inlineStr">
        <is>
          <t>Requires reorder capital</t>
        </is>
      </c>
      <c r="E36" s="8" t="inlineStr"/>
      <c r="F36" s="8" t="inlineStr"/>
      <c r="G36" s="8" t="inlineStr"/>
      <c r="H36" s="8" t="inlineStr"/>
      <c r="I36" s="8" t="inlineStr"/>
      <c r="J36" s="8" t="inlineStr"/>
    </row>
  </sheetData>
  <mergeCells count="6">
    <mergeCell ref="A1:J1"/>
    <mergeCell ref="A12:J12"/>
    <mergeCell ref="A4:J4"/>
    <mergeCell ref="A20:J20"/>
    <mergeCell ref="A2:J2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2026-03-18T13:15:16Z</dcterms:created>
  <dcterms:modified xmlns:dcterms="http://purl.org/dc/terms/" xmlns:xsi="http://www.w3.org/2001/XMLSchema-instance" xsi:type="dcterms:W3CDTF">2026-03-18T13:15:16Z</dcterms:modified>
</cp:coreProperties>
</file>