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KPI Tracker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ash 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%;-0%;—"/>
    <numFmt numFmtId="165" formatCode="0.0%"/>
    <numFmt numFmtId="166" formatCode="$#,##0.00"/>
    <numFmt numFmtId="167" formatCode="0.0x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7D32"/>
      <sz val="9"/>
    </font>
    <font>
      <name val="Arial"/>
      <b val="1"/>
      <color rgb="FF2E5090"/>
      <sz val="10"/>
    </font>
    <font>
      <name val="Arial"/>
      <b val="1"/>
      <color rgb="FFFFFFFF"/>
      <sz val="9"/>
    </font>
  </fonts>
  <fills count="9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vertical="center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166" fontId="4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166" fontId="4" fillId="8" borderId="1" applyAlignment="1" pivotButton="0" quotePrefix="0" xfId="0">
      <alignment horizontal="center" vertical="center" wrapText="1"/>
    </xf>
    <xf numFmtId="0" fontId="4" fillId="5" borderId="1" pivotButton="0" quotePrefix="0" xfId="0"/>
    <xf numFmtId="166" fontId="4" fillId="5" borderId="1" applyAlignment="1" pivotButton="0" quotePrefix="0" xfId="0">
      <alignment horizontal="center" vertical="center" wrapText="1"/>
    </xf>
    <xf numFmtId="0" fontId="8" fillId="2" borderId="1" pivotButton="0" quotePrefix="0" xfId="0"/>
    <xf numFmtId="166" fontId="8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090"/>
    <outlinePr summaryBelow="1" summaryRight="1"/>
    <pageSetUpPr/>
  </sheetPr>
  <dimension ref="A1:O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8" customHeight="1">
      <c r="A1" s="1" t="inlineStr">
        <is>
          <t>P15 LIVE KPI TRACKER — FILL IN EVERY MONDAY (15 metrics × 12 weeks with auto-calculated trends)</t>
        </is>
      </c>
    </row>
    <row r="2" ht="20" customHeight="1">
      <c r="A2" s="2" t="inlineStr">
        <is>
          <t>Yellow cells = you fill in. Green cells = auto-calculated. Update weekly during your P6E.01 Monday KPI review. Print or pin this dashboard.</t>
        </is>
      </c>
    </row>
    <row r="3" ht="30" customHeight="1">
      <c r="A3" s="3" t="inlineStr">
        <is>
          <t>KPI</t>
        </is>
      </c>
      <c r="B3" s="3" t="inlineStr">
        <is>
          <t>Target</t>
        </is>
      </c>
      <c r="C3" s="3" t="inlineStr">
        <is>
          <t>Week 1</t>
        </is>
      </c>
      <c r="D3" s="3" t="inlineStr">
        <is>
          <t>Week 2</t>
        </is>
      </c>
      <c r="E3" s="3" t="inlineStr">
        <is>
          <t>Week 3</t>
        </is>
      </c>
      <c r="F3" s="3" t="inlineStr">
        <is>
          <t>Week 4</t>
        </is>
      </c>
      <c r="G3" s="3" t="inlineStr">
        <is>
          <t>Week 5</t>
        </is>
      </c>
      <c r="H3" s="3" t="inlineStr">
        <is>
          <t>Week 6</t>
        </is>
      </c>
      <c r="I3" s="3" t="inlineStr">
        <is>
          <t>Week 7</t>
        </is>
      </c>
      <c r="J3" s="3" t="inlineStr">
        <is>
          <t>Week 8</t>
        </is>
      </c>
      <c r="K3" s="3" t="inlineStr">
        <is>
          <t>Week 9</t>
        </is>
      </c>
      <c r="L3" s="3" t="inlineStr">
        <is>
          <t>Week 10</t>
        </is>
      </c>
      <c r="M3" s="3" t="inlineStr">
        <is>
          <t>Week 11</t>
        </is>
      </c>
      <c r="N3" s="3" t="inlineStr">
        <is>
          <t>Week 12</t>
        </is>
      </c>
      <c r="O3" s="3" t="inlineStr">
        <is>
          <t>12-Week
Trend</t>
        </is>
      </c>
    </row>
    <row r="4" ht="26" customHeight="1">
      <c r="A4" s="4" t="inlineStr">
        <is>
          <t>Sessions (Shopify)</t>
        </is>
      </c>
      <c r="B4" s="5" t="inlineStr">
        <is>
          <t>500/wk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7">
        <f>IF(OR(C4=0,C4=""),"—",(N4-C4)/C4)</f>
        <v/>
      </c>
    </row>
    <row r="5" ht="26" customHeight="1">
      <c r="A5" s="8" t="inlineStr">
        <is>
          <t>Orders</t>
        </is>
      </c>
      <c r="B5" s="9" t="inlineStr">
        <is>
          <t>10/wk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>
        <f>IF(OR(C5=0,C5=""),"—",(N5-C5)/C5)</f>
        <v/>
      </c>
    </row>
    <row r="6" ht="26" customHeight="1">
      <c r="A6" s="4" t="inlineStr">
        <is>
          <t>Conversion Rate</t>
        </is>
      </c>
      <c r="B6" s="5" t="inlineStr">
        <is>
          <t>&gt;2.5%</t>
        </is>
      </c>
      <c r="C6" s="10">
        <f>IF(C4=0,"",C5/C4)</f>
        <v/>
      </c>
      <c r="D6" s="10">
        <f>IF(D4=0,"",D5/D4)</f>
        <v/>
      </c>
      <c r="E6" s="10">
        <f>IF(E4=0,"",E5/E4)</f>
        <v/>
      </c>
      <c r="F6" s="10">
        <f>IF(F4=0,"",F5/F4)</f>
        <v/>
      </c>
      <c r="G6" s="10">
        <f>IF(G4=0,"",G5/G4)</f>
        <v/>
      </c>
      <c r="H6" s="10">
        <f>IF(H4=0,"",H5/H4)</f>
        <v/>
      </c>
      <c r="I6" s="10">
        <f>IF(I4=0,"",I5/I4)</f>
        <v/>
      </c>
      <c r="J6" s="10">
        <f>IF(J4=0,"",J5/J4)</f>
        <v/>
      </c>
      <c r="K6" s="10">
        <f>IF(K4=0,"",K5/K4)</f>
        <v/>
      </c>
      <c r="L6" s="10">
        <f>IF(L4=0,"",L5/L4)</f>
        <v/>
      </c>
      <c r="M6" s="10">
        <f>IF(M4=0,"",M5/M4)</f>
        <v/>
      </c>
      <c r="N6" s="10">
        <f>IF(N4=0,"",N5/N4)</f>
        <v/>
      </c>
      <c r="O6" s="7">
        <f>IF(OR(C6=0,C6=""),"—",(N6-C6)/C6)</f>
        <v/>
      </c>
    </row>
    <row r="7" ht="26" customHeight="1">
      <c r="A7" s="8" t="inlineStr">
        <is>
          <t>Revenue</t>
        </is>
      </c>
      <c r="B7" s="9" t="inlineStr">
        <is>
          <t>$350/wk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7">
        <f>IF(OR(C7=0,C7=""),"—",(N7-C7)/C7)</f>
        <v/>
      </c>
    </row>
    <row r="8" ht="26" customHeight="1">
      <c r="A8" s="4" t="inlineStr">
        <is>
          <t>Avg Order Value (AOV)</t>
        </is>
      </c>
      <c r="B8" s="5" t="inlineStr">
        <is>
          <t>$33+</t>
        </is>
      </c>
      <c r="C8" s="12">
        <f>IF(C5=0,"",C7/C5)</f>
        <v/>
      </c>
      <c r="D8" s="12">
        <f>IF(D5=0,"",D7/D5)</f>
        <v/>
      </c>
      <c r="E8" s="12">
        <f>IF(E5=0,"",E7/E5)</f>
        <v/>
      </c>
      <c r="F8" s="12">
        <f>IF(F5=0,"",F7/F5)</f>
        <v/>
      </c>
      <c r="G8" s="12">
        <f>IF(G5=0,"",G7/G5)</f>
        <v/>
      </c>
      <c r="H8" s="12">
        <f>IF(H5=0,"",H7/H5)</f>
        <v/>
      </c>
      <c r="I8" s="12">
        <f>IF(I5=0,"",I7/I5)</f>
        <v/>
      </c>
      <c r="J8" s="12">
        <f>IF(J5=0,"",J7/J5)</f>
        <v/>
      </c>
      <c r="K8" s="12">
        <f>IF(K5=0,"",K7/K5)</f>
        <v/>
      </c>
      <c r="L8" s="12">
        <f>IF(L5=0,"",L7/L5)</f>
        <v/>
      </c>
      <c r="M8" s="12">
        <f>IF(M5=0,"",M7/M5)</f>
        <v/>
      </c>
      <c r="N8" s="12">
        <f>IF(N5=0,"",N7/N5)</f>
        <v/>
      </c>
      <c r="O8" s="7">
        <f>IF(OR(C8=0,C8=""),"—",(N8-C8)/C8)</f>
        <v/>
      </c>
    </row>
    <row r="9" ht="26" customHeight="1">
      <c r="A9" s="8" t="inlineStr">
        <is>
          <t>New Customers</t>
        </is>
      </c>
      <c r="B9" s="9" t="inlineStr">
        <is>
          <t>8/wk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>
        <f>IF(OR(C9=0,C9=""),"—",(N9-C9)/C9)</f>
        <v/>
      </c>
    </row>
    <row r="10" ht="26" customHeight="1">
      <c r="A10" s="4" t="inlineStr">
        <is>
          <t>Returning Customers</t>
        </is>
      </c>
      <c r="B10" s="5" t="inlineStr">
        <is>
          <t>2/wk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>
        <f>IF(OR(C10=0,C10=""),"—",(N10-C10)/C10)</f>
        <v/>
      </c>
    </row>
    <row r="11" ht="26" customHeight="1">
      <c r="A11" s="8" t="inlineStr">
        <is>
          <t>Email Subscribers (total)</t>
        </is>
      </c>
      <c r="B11" s="9" t="inlineStr">
        <is>
          <t>200+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>
        <f>IF(OR(C11=0,C11=""),"—",(N11-C11)/C11)</f>
        <v/>
      </c>
    </row>
    <row r="12" ht="26" customHeight="1">
      <c r="A12" s="4" t="inlineStr">
        <is>
          <t>Social Followers (IG+TikTok)</t>
        </is>
      </c>
      <c r="B12" s="5" t="inlineStr">
        <is>
          <t>500+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>
        <f>IF(OR(C12=0,C12=""),"—",(N12-C12)/C12)</f>
        <v/>
      </c>
    </row>
    <row r="13" ht="26" customHeight="1">
      <c r="A13" s="8" t="inlineStr">
        <is>
          <t>Meta Ads Spend</t>
        </is>
      </c>
      <c r="B13" s="9" t="inlineStr">
        <is>
          <t>$70-$105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7">
        <f>IF(OR(C13=0,C13=""),"—",(N13-C13)/C13)</f>
        <v/>
      </c>
    </row>
    <row r="14" ht="26" customHeight="1">
      <c r="A14" s="4" t="inlineStr">
        <is>
          <t>Meta Ads ROAS</t>
        </is>
      </c>
      <c r="B14" s="5" t="inlineStr">
        <is>
          <t>&gt;2.0×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7">
        <f>IF(OR(C14=0,C14=""),"—",(N14-C14)/C14)</f>
        <v/>
      </c>
    </row>
    <row r="15" ht="26" customHeight="1">
      <c r="A15" s="8" t="inlineStr">
        <is>
          <t>Google Ads Spend</t>
        </is>
      </c>
      <c r="B15" s="9" t="inlineStr">
        <is>
          <t>$91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7">
        <f>IF(OR(C15=0,C15=""),"—",(N15-C15)/C15)</f>
        <v/>
      </c>
    </row>
    <row r="16" ht="26" customHeight="1">
      <c r="A16" s="4" t="inlineStr">
        <is>
          <t>Google Ads ROAS</t>
        </is>
      </c>
      <c r="B16" s="5" t="inlineStr">
        <is>
          <t>&gt;2.0×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7">
        <f>IF(OR(C16=0,C16=""),"—",(N16-C16)/C16)</f>
        <v/>
      </c>
    </row>
    <row r="17" ht="26" customHeight="1">
      <c r="A17" s="8" t="inlineStr">
        <is>
          <t>Reviews (cumulative)</t>
        </is>
      </c>
      <c r="B17" s="9" t="inlineStr">
        <is>
          <t>10 by W4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>
        <f>IF(OR(C17=0,C17=""),"—",(N17-C17)/C17)</f>
        <v/>
      </c>
    </row>
    <row r="18" ht="26" customHeight="1">
      <c r="A18" s="4" t="inlineStr">
        <is>
          <t>Inventory Remaining</t>
        </is>
      </c>
      <c r="B18" s="5" t="inlineStr">
        <is>
          <t>Track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>
        <f>IF(OR(C18=0,C18=""),"—",(N18-C18)/C18)</f>
        <v/>
      </c>
    </row>
    <row r="20" ht="22" customHeight="1">
      <c r="A20" s="14" t="inlineStr">
        <is>
          <t>DATA SOURCES: pull each KPI from the location listed below. Fill in yellow cells every Monday. Green cells auto-calculate.</t>
        </is>
      </c>
    </row>
    <row r="21" ht="20" customHeight="1">
      <c r="A21" s="15" t="inlineStr">
        <is>
          <t>Sessions (Shopify)</t>
        </is>
      </c>
      <c r="B21" s="16" t="inlineStr">
        <is>
          <t>Shopify → Analytics → Sessions</t>
        </is>
      </c>
    </row>
    <row r="22" ht="20" customHeight="1">
      <c r="A22" s="15" t="inlineStr">
        <is>
          <t>Orders</t>
        </is>
      </c>
      <c r="B22" s="16" t="inlineStr">
        <is>
          <t>Shopify → Analytics → Total Orders</t>
        </is>
      </c>
    </row>
    <row r="23" ht="20" customHeight="1">
      <c r="A23" s="15" t="inlineStr">
        <is>
          <t>Conversion Rate</t>
        </is>
      </c>
      <c r="B23" s="16">
        <f>Orders÷Sessions (auto-calculated)</f>
        <v/>
      </c>
    </row>
    <row r="24" ht="20" customHeight="1">
      <c r="A24" s="15" t="inlineStr">
        <is>
          <t>Revenue</t>
        </is>
      </c>
      <c r="B24" s="16" t="inlineStr">
        <is>
          <t>Shopify → Analytics → Total Sales</t>
        </is>
      </c>
    </row>
    <row r="25" ht="20" customHeight="1">
      <c r="A25" s="15" t="inlineStr">
        <is>
          <t>Avg Order Value (AOV)</t>
        </is>
      </c>
      <c r="B25" s="16">
        <f>Revenue÷Orders (auto-calculated)</f>
        <v/>
      </c>
    </row>
    <row r="26" ht="20" customHeight="1">
      <c r="A26" s="15" t="inlineStr">
        <is>
          <t>New Customers</t>
        </is>
      </c>
      <c r="B26" s="16" t="inlineStr">
        <is>
          <t>Shopify → Customers → New</t>
        </is>
      </c>
    </row>
    <row r="27" ht="20" customHeight="1">
      <c r="A27" s="15" t="inlineStr">
        <is>
          <t>Returning Customers</t>
        </is>
      </c>
      <c r="B27" s="16" t="inlineStr">
        <is>
          <t>Shopify → Customers → Returning</t>
        </is>
      </c>
    </row>
    <row r="28" ht="20" customHeight="1">
      <c r="A28" s="15" t="inlineStr">
        <is>
          <t>Email Subscribers (total)</t>
        </is>
      </c>
      <c r="B28" s="16" t="inlineStr">
        <is>
          <t>Klaviyo → Lists → total subscribers</t>
        </is>
      </c>
    </row>
    <row r="29" ht="20" customHeight="1">
      <c r="A29" s="15" t="inlineStr">
        <is>
          <t>Social Followers (IG+TikTok)</t>
        </is>
      </c>
      <c r="B29" s="16" t="inlineStr">
        <is>
          <t>Instagram + TikTok follower count</t>
        </is>
      </c>
    </row>
    <row r="30" ht="20" customHeight="1">
      <c r="A30" s="15" t="inlineStr">
        <is>
          <t>Meta Ads Spend</t>
        </is>
      </c>
      <c r="B30" s="16" t="inlineStr">
        <is>
          <t>Meta Ads Manager → Spend this week</t>
        </is>
      </c>
    </row>
    <row r="31" ht="20" customHeight="1">
      <c r="A31" s="15" t="inlineStr">
        <is>
          <t>Meta Ads ROAS</t>
        </is>
      </c>
      <c r="B31" s="16" t="inlineStr">
        <is>
          <t>Meta Ads Manager → ROAS</t>
        </is>
      </c>
    </row>
    <row r="32" ht="20" customHeight="1">
      <c r="A32" s="15" t="inlineStr">
        <is>
          <t>Google Ads Spend</t>
        </is>
      </c>
      <c r="B32" s="16" t="inlineStr">
        <is>
          <t>Google Ads → Spend this week</t>
        </is>
      </c>
    </row>
    <row r="33" ht="20" customHeight="1">
      <c r="A33" s="15" t="inlineStr">
        <is>
          <t>Google Ads ROAS</t>
        </is>
      </c>
      <c r="B33" s="16" t="inlineStr">
        <is>
          <t>Google Ads → Conversions value ÷ spend</t>
        </is>
      </c>
    </row>
    <row r="34" ht="20" customHeight="1">
      <c r="A34" s="15" t="inlineStr">
        <is>
          <t>Reviews (cumulative)</t>
        </is>
      </c>
      <c r="B34" s="16" t="inlineStr">
        <is>
          <t>Judge.me → total review count</t>
        </is>
      </c>
    </row>
    <row r="35" ht="20" customHeight="1">
      <c r="A35" s="15" t="inlineStr">
        <is>
          <t>Inventory Remaining</t>
        </is>
      </c>
      <c r="B35" s="16" t="inlineStr">
        <is>
          <t>Shopify → Products → inventory total</t>
        </is>
      </c>
    </row>
  </sheetData>
  <mergeCells count="18">
    <mergeCell ref="B26:O26"/>
    <mergeCell ref="B27:O27"/>
    <mergeCell ref="A20:O20"/>
    <mergeCell ref="B21:O21"/>
    <mergeCell ref="A2:O2"/>
    <mergeCell ref="B35:O35"/>
    <mergeCell ref="B24:O24"/>
    <mergeCell ref="B30:O30"/>
    <mergeCell ref="B29:O29"/>
    <mergeCell ref="B33:O33"/>
    <mergeCell ref="A1:O1"/>
    <mergeCell ref="B25:O25"/>
    <mergeCell ref="B31:O31"/>
    <mergeCell ref="B34:O34"/>
    <mergeCell ref="B28:O28"/>
    <mergeCell ref="B23:O23"/>
    <mergeCell ref="B22:O22"/>
    <mergeCell ref="B32:O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O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 ht="28" customHeight="1">
      <c r="A1" s="1" t="inlineStr">
        <is>
          <t>MONTHLY BUDGET TRACKER — ACTUAL SPEND VS P7B.03 $10K ALLOCATION</t>
        </is>
      </c>
    </row>
    <row r="2" ht="20" customHeight="1">
      <c r="A2" s="2" t="inlineStr">
        <is>
          <t>Yellow = enter your actual spend. Green = auto-calculated variance. Red = over budget. Update on the last day of each month.</t>
        </is>
      </c>
    </row>
    <row r="3" ht="30" customHeight="1">
      <c r="A3" s="3" t="inlineStr">
        <is>
          <t>Category</t>
        </is>
      </c>
      <c r="B3" s="3" t="inlineStr">
        <is>
          <t>Allocated
($10K total)</t>
        </is>
      </c>
      <c r="C3" s="3" t="inlineStr">
        <is>
          <t>M1
Actual</t>
        </is>
      </c>
      <c r="D3" s="3" t="inlineStr">
        <is>
          <t>M1
Variance</t>
        </is>
      </c>
      <c r="E3" s="3" t="inlineStr">
        <is>
          <t>M2
Actual</t>
        </is>
      </c>
      <c r="F3" s="3" t="inlineStr">
        <is>
          <t>M2
Variance</t>
        </is>
      </c>
      <c r="G3" s="3" t="inlineStr">
        <is>
          <t>M3
Actual</t>
        </is>
      </c>
      <c r="H3" s="3" t="inlineStr">
        <is>
          <t>M3
Variance</t>
        </is>
      </c>
      <c r="I3" s="3" t="inlineStr">
        <is>
          <t>M4
Actual</t>
        </is>
      </c>
      <c r="J3" s="3" t="inlineStr">
        <is>
          <t>M4
Variance</t>
        </is>
      </c>
      <c r="K3" s="3" t="inlineStr">
        <is>
          <t>M5
Actual</t>
        </is>
      </c>
      <c r="L3" s="3" t="inlineStr">
        <is>
          <t>M5
Variance</t>
        </is>
      </c>
      <c r="M3" s="3" t="inlineStr">
        <is>
          <t>M6
Actual</t>
        </is>
      </c>
      <c r="N3" s="3" t="inlineStr">
        <is>
          <t>M6
Variance</t>
        </is>
      </c>
      <c r="O3" s="3" t="inlineStr">
        <is>
          <t>YTD
Actual</t>
        </is>
      </c>
    </row>
    <row r="4" ht="24" customHeight="1">
      <c r="A4" s="4" t="inlineStr">
        <is>
          <t>Inventory (600 units)</t>
        </is>
      </c>
      <c r="B4" s="17" t="n">
        <v>3600</v>
      </c>
      <c r="C4" s="18" t="n"/>
      <c r="D4" s="12">
        <f>B4-(C4)</f>
        <v/>
      </c>
      <c r="E4" s="18" t="n"/>
      <c r="F4" s="12">
        <f>B4-(C4+E4)</f>
        <v/>
      </c>
      <c r="G4" s="18" t="n"/>
      <c r="H4" s="12">
        <f>B4-(C4+E4+G4)</f>
        <v/>
      </c>
      <c r="I4" s="18" t="n"/>
      <c r="J4" s="12">
        <f>B4-(C4+E4+G4+I4)</f>
        <v/>
      </c>
      <c r="K4" s="18" t="n"/>
      <c r="L4" s="12">
        <f>B4-(C4+E4+G4+I4+K4)</f>
        <v/>
      </c>
      <c r="M4" s="18" t="n"/>
      <c r="N4" s="12">
        <f>B4-(C4+E4+G4+I4+K4+M4)</f>
        <v/>
      </c>
      <c r="O4" s="12">
        <f>C4+E4+G4+I4+K4+M4</f>
        <v/>
      </c>
    </row>
    <row r="5" ht="24" customHeight="1">
      <c r="A5" s="8" t="inlineStr">
        <is>
          <t>Inbound Freight + Customs</t>
        </is>
      </c>
      <c r="B5" s="19" t="n">
        <v>1200</v>
      </c>
      <c r="C5" s="18" t="n"/>
      <c r="D5" s="12">
        <f>B5-(C5)</f>
        <v/>
      </c>
      <c r="E5" s="18" t="n"/>
      <c r="F5" s="12">
        <f>B5-(C5+E5)</f>
        <v/>
      </c>
      <c r="G5" s="18" t="n"/>
      <c r="H5" s="12">
        <f>B5-(C5+E5+G5)</f>
        <v/>
      </c>
      <c r="I5" s="18" t="n"/>
      <c r="J5" s="12">
        <f>B5-(C5+E5+G5+I5)</f>
        <v/>
      </c>
      <c r="K5" s="18" t="n"/>
      <c r="L5" s="12">
        <f>B5-(C5+E5+G5+I5+K5)</f>
        <v/>
      </c>
      <c r="M5" s="18" t="n"/>
      <c r="N5" s="12">
        <f>B5-(C5+E5+G5+I5+K5+M5)</f>
        <v/>
      </c>
      <c r="O5" s="12">
        <f>C5+E5+G5+I5+K5+M5</f>
        <v/>
      </c>
    </row>
    <row r="6" ht="24" customHeight="1">
      <c r="A6" s="4" t="inlineStr">
        <is>
          <t>Packaging Materials</t>
        </is>
      </c>
      <c r="B6" s="17" t="n">
        <v>400</v>
      </c>
      <c r="C6" s="18" t="n"/>
      <c r="D6" s="12">
        <f>B6-(C6)</f>
        <v/>
      </c>
      <c r="E6" s="18" t="n"/>
      <c r="F6" s="12">
        <f>B6-(C6+E6)</f>
        <v/>
      </c>
      <c r="G6" s="18" t="n"/>
      <c r="H6" s="12">
        <f>B6-(C6+E6+G6)</f>
        <v/>
      </c>
      <c r="I6" s="18" t="n"/>
      <c r="J6" s="12">
        <f>B6-(C6+E6+G6+I6)</f>
        <v/>
      </c>
      <c r="K6" s="18" t="n"/>
      <c r="L6" s="12">
        <f>B6-(C6+E6+G6+I6+K6)</f>
        <v/>
      </c>
      <c r="M6" s="18" t="n"/>
      <c r="N6" s="12">
        <f>B6-(C6+E6+G6+I6+K6+M6)</f>
        <v/>
      </c>
      <c r="O6" s="12">
        <f>C6+E6+G6+I6+K6+M6</f>
        <v/>
      </c>
    </row>
    <row r="7" ht="24" customHeight="1">
      <c r="A7" s="8" t="inlineStr">
        <is>
          <t>Meta Ads</t>
        </is>
      </c>
      <c r="B7" s="19" t="n">
        <v>950</v>
      </c>
      <c r="C7" s="18" t="n"/>
      <c r="D7" s="12">
        <f>B7-(C7)</f>
        <v/>
      </c>
      <c r="E7" s="18" t="n"/>
      <c r="F7" s="12">
        <f>B7-(C7+E7)</f>
        <v/>
      </c>
      <c r="G7" s="18" t="n"/>
      <c r="H7" s="12">
        <f>B7-(C7+E7+G7)</f>
        <v/>
      </c>
      <c r="I7" s="18" t="n"/>
      <c r="J7" s="12">
        <f>B7-(C7+E7+G7+I7)</f>
        <v/>
      </c>
      <c r="K7" s="18" t="n"/>
      <c r="L7" s="12">
        <f>B7-(C7+E7+G7+I7+K7)</f>
        <v/>
      </c>
      <c r="M7" s="18" t="n"/>
      <c r="N7" s="12">
        <f>B7-(C7+E7+G7+I7+K7+M7)</f>
        <v/>
      </c>
      <c r="O7" s="12">
        <f>C7+E7+G7+I7+K7+M7</f>
        <v/>
      </c>
    </row>
    <row r="8" ht="24" customHeight="1">
      <c r="A8" s="4" t="inlineStr">
        <is>
          <t>Google Ads</t>
        </is>
      </c>
      <c r="B8" s="17" t="n">
        <v>550</v>
      </c>
      <c r="C8" s="18" t="n"/>
      <c r="D8" s="12">
        <f>B8-(C8)</f>
        <v/>
      </c>
      <c r="E8" s="18" t="n"/>
      <c r="F8" s="12">
        <f>B8-(C8+E8)</f>
        <v/>
      </c>
      <c r="G8" s="18" t="n"/>
      <c r="H8" s="12">
        <f>B8-(C8+E8+G8)</f>
        <v/>
      </c>
      <c r="I8" s="18" t="n"/>
      <c r="J8" s="12">
        <f>B8-(C8+E8+G8+I8)</f>
        <v/>
      </c>
      <c r="K8" s="18" t="n"/>
      <c r="L8" s="12">
        <f>B8-(C8+E8+G8+I8+K8)</f>
        <v/>
      </c>
      <c r="M8" s="18" t="n"/>
      <c r="N8" s="12">
        <f>B8-(C8+E8+G8+I8+K8+M8)</f>
        <v/>
      </c>
      <c r="O8" s="12">
        <f>C8+E8+G8+I8+K8+M8</f>
        <v/>
      </c>
    </row>
    <row r="9" ht="24" customHeight="1">
      <c r="A9" s="8" t="inlineStr">
        <is>
          <t>Shopify + Apps</t>
        </is>
      </c>
      <c r="B9" s="19" t="n">
        <v>350</v>
      </c>
      <c r="C9" s="18" t="n"/>
      <c r="D9" s="12">
        <f>B9-(C9)</f>
        <v/>
      </c>
      <c r="E9" s="18" t="n"/>
      <c r="F9" s="12">
        <f>B9-(C9+E9)</f>
        <v/>
      </c>
      <c r="G9" s="18" t="n"/>
      <c r="H9" s="12">
        <f>B9-(C9+E9+G9)</f>
        <v/>
      </c>
      <c r="I9" s="18" t="n"/>
      <c r="J9" s="12">
        <f>B9-(C9+E9+G9+I9)</f>
        <v/>
      </c>
      <c r="K9" s="18" t="n"/>
      <c r="L9" s="12">
        <f>B9-(C9+E9+G9+I9+K9)</f>
        <v/>
      </c>
      <c r="M9" s="18" t="n"/>
      <c r="N9" s="12">
        <f>B9-(C9+E9+G9+I9+K9+M9)</f>
        <v/>
      </c>
      <c r="O9" s="12">
        <f>C9+E9+G9+I9+K9+M9</f>
        <v/>
      </c>
    </row>
    <row r="10" ht="24" customHeight="1">
      <c r="A10" s="4" t="inlineStr">
        <is>
          <t>Samples / Influencer / Events</t>
        </is>
      </c>
      <c r="B10" s="17" t="n">
        <v>400</v>
      </c>
      <c r="C10" s="18" t="n"/>
      <c r="D10" s="12">
        <f>B10-(C10)</f>
        <v/>
      </c>
      <c r="E10" s="18" t="n"/>
      <c r="F10" s="12">
        <f>B10-(C10+E10)</f>
        <v/>
      </c>
      <c r="G10" s="18" t="n"/>
      <c r="H10" s="12">
        <f>B10-(C10+E10+G10)</f>
        <v/>
      </c>
      <c r="I10" s="18" t="n"/>
      <c r="J10" s="12">
        <f>B10-(C10+E10+G10+I10)</f>
        <v/>
      </c>
      <c r="K10" s="18" t="n"/>
      <c r="L10" s="12">
        <f>B10-(C10+E10+G10+I10+K10)</f>
        <v/>
      </c>
      <c r="M10" s="18" t="n"/>
      <c r="N10" s="12">
        <f>B10-(C10+E10+G10+I10+K10+M10)</f>
        <v/>
      </c>
      <c r="O10" s="12">
        <f>C10+E10+G10+I10+K10+M10</f>
        <v/>
      </c>
    </row>
    <row r="11" ht="24" customHeight="1">
      <c r="A11" s="8" t="inlineStr">
        <is>
          <t>Content / Marketing Tools</t>
        </is>
      </c>
      <c r="B11" s="19" t="n">
        <v>200</v>
      </c>
      <c r="C11" s="18" t="n"/>
      <c r="D11" s="12">
        <f>B11-(C11)</f>
        <v/>
      </c>
      <c r="E11" s="18" t="n"/>
      <c r="F11" s="12">
        <f>B11-(C11+E11)</f>
        <v/>
      </c>
      <c r="G11" s="18" t="n"/>
      <c r="H11" s="12">
        <f>B11-(C11+E11+G11)</f>
        <v/>
      </c>
      <c r="I11" s="18" t="n"/>
      <c r="J11" s="12">
        <f>B11-(C11+E11+G11+I11)</f>
        <v/>
      </c>
      <c r="K11" s="18" t="n"/>
      <c r="L11" s="12">
        <f>B11-(C11+E11+G11+I11+K11)</f>
        <v/>
      </c>
      <c r="M11" s="18" t="n"/>
      <c r="N11" s="12">
        <f>B11-(C11+E11+G11+I11+K11+M11)</f>
        <v/>
      </c>
      <c r="O11" s="12">
        <f>C11+E11+G11+I11+K11+M11</f>
        <v/>
      </c>
    </row>
    <row r="12" ht="24" customHeight="1">
      <c r="A12" s="4" t="inlineStr">
        <is>
          <t>Business Registration / Legal</t>
        </is>
      </c>
      <c r="B12" s="17" t="n">
        <v>350</v>
      </c>
      <c r="C12" s="18" t="n"/>
      <c r="D12" s="12">
        <f>B12-(C12)</f>
        <v/>
      </c>
      <c r="E12" s="18" t="n"/>
      <c r="F12" s="12">
        <f>B12-(C12+E12)</f>
        <v/>
      </c>
      <c r="G12" s="18" t="n"/>
      <c r="H12" s="12">
        <f>B12-(C12+E12+G12)</f>
        <v/>
      </c>
      <c r="I12" s="18" t="n"/>
      <c r="J12" s="12">
        <f>B12-(C12+E12+G12+I12)</f>
        <v/>
      </c>
      <c r="K12" s="18" t="n"/>
      <c r="L12" s="12">
        <f>B12-(C12+E12+G12+I12+K12)</f>
        <v/>
      </c>
      <c r="M12" s="18" t="n"/>
      <c r="N12" s="12">
        <f>B12-(C12+E12+G12+I12+K12+M12)</f>
        <v/>
      </c>
      <c r="O12" s="12">
        <f>C12+E12+G12+I12+K12+M12</f>
        <v/>
      </c>
    </row>
    <row r="13">
      <c r="A13" s="20" t="inlineStr">
        <is>
          <t>TOTAL ALLOCATED</t>
        </is>
      </c>
      <c r="B13" s="21">
        <f>SUM(B4:B12)</f>
        <v/>
      </c>
      <c r="C13" s="21">
        <f>SUM(C4:C12)</f>
        <v/>
      </c>
      <c r="D13" s="21">
        <f>SUM(D4:D12)</f>
        <v/>
      </c>
      <c r="E13" s="21">
        <f>SUM(E4:E12)</f>
        <v/>
      </c>
      <c r="F13" s="21">
        <f>SUM(F4:F12)</f>
        <v/>
      </c>
      <c r="G13" s="21">
        <f>SUM(G4:G12)</f>
        <v/>
      </c>
      <c r="H13" s="21">
        <f>SUM(H4:H12)</f>
        <v/>
      </c>
      <c r="I13" s="21">
        <f>SUM(I4:I12)</f>
        <v/>
      </c>
      <c r="J13" s="21">
        <f>SUM(J4:J12)</f>
        <v/>
      </c>
      <c r="K13" s="21">
        <f>SUM(K4:K12)</f>
        <v/>
      </c>
      <c r="L13" s="21">
        <f>SUM(L4:L12)</f>
        <v/>
      </c>
      <c r="M13" s="21">
        <f>SUM(M4:M12)</f>
        <v/>
      </c>
      <c r="N13" s="21">
        <f>SUM(N4:N12)</f>
        <v/>
      </c>
      <c r="O13" s="21">
        <f>SUM(O4:O12)</f>
        <v/>
      </c>
    </row>
    <row r="14">
      <c r="A14" s="22" t="inlineStr">
        <is>
          <t>CONTINGENCY RESERVE</t>
        </is>
      </c>
      <c r="B14" s="23" t="n">
        <v>2000</v>
      </c>
    </row>
    <row r="15">
      <c r="A15" s="24" t="inlineStr">
        <is>
          <t>TOTAL BUDGET</t>
        </is>
      </c>
      <c r="B15" s="25" t="n">
        <v>10000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</cols>
  <sheetData>
    <row r="1" ht="28" customHeight="1">
      <c r="A1" s="1" t="inlineStr">
        <is>
          <t>MONTHLY CASH POSITION — KNOW YOUR RUNWAY AT ALL TIMES</t>
        </is>
      </c>
    </row>
    <row r="2" ht="20" customHeight="1">
      <c r="A2" s="2" t="inlineStr">
        <is>
          <t>Yellow = enter actual numbers from bank account + Shopify. Green = auto-calculated. Update last day of each month.</t>
        </is>
      </c>
    </row>
    <row r="3" ht="26" customHeight="1">
      <c r="A3" s="3" t="inlineStr">
        <is>
          <t>Line Item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Notes</t>
        </is>
      </c>
    </row>
    <row r="4" ht="24" customHeight="1">
      <c r="A4" s="26" t="inlineStr">
        <is>
          <t>OPENING CASH BALANCE</t>
        </is>
      </c>
      <c r="B4" s="18" t="n"/>
      <c r="C4" s="18" t="n"/>
      <c r="D4" s="18" t="n"/>
      <c r="E4" s="18" t="n"/>
      <c r="F4" s="18" t="n"/>
      <c r="G4" s="18" t="n"/>
      <c r="H4" s="16" t="inlineStr">
        <is>
          <t>Bank account balance on first day of month. Month 1 = $10,000 (or your actual starting capital).</t>
        </is>
      </c>
    </row>
    <row r="6" ht="24" customHeight="1">
      <c r="A6" s="4" t="inlineStr">
        <is>
          <t>+ Gross Revenue</t>
        </is>
      </c>
      <c r="B6" s="18" t="n"/>
      <c r="C6" s="18" t="n"/>
      <c r="D6" s="18" t="n"/>
      <c r="E6" s="18" t="n"/>
      <c r="F6" s="18" t="n"/>
      <c r="G6" s="18" t="n"/>
      <c r="H6" s="16" t="inlineStr">
        <is>
          <t>Shopify → Analytics → Total Sales for the month.</t>
        </is>
      </c>
    </row>
    <row r="7" ht="24" customHeight="1">
      <c r="A7" s="8" t="inlineStr">
        <is>
          <t>- Discounts &amp; Returns</t>
        </is>
      </c>
      <c r="B7" s="18" t="n"/>
      <c r="C7" s="18" t="n"/>
      <c r="D7" s="18" t="n"/>
      <c r="E7" s="18" t="n"/>
      <c r="F7" s="18" t="n"/>
      <c r="G7" s="18" t="n"/>
      <c r="H7" s="16" t="inlineStr">
        <is>
          <t>Shopify → Analytics → Discounts + Returns.</t>
        </is>
      </c>
    </row>
    <row r="8" ht="24" customHeight="1">
      <c r="A8" s="26">
        <f> NET REVENUE</f>
        <v/>
      </c>
      <c r="B8" s="12" t="n"/>
      <c r="C8" s="12" t="n"/>
      <c r="D8" s="12" t="n"/>
      <c r="E8" s="12" t="n"/>
      <c r="F8" s="12" t="n"/>
      <c r="G8" s="12" t="n"/>
      <c r="H8" s="16">
        <f>Gross Revenue - Discounts &amp; Returns</f>
        <v/>
      </c>
    </row>
    <row r="10" ht="24" customHeight="1">
      <c r="A10" s="4" t="inlineStr">
        <is>
          <t>- Product COGS</t>
        </is>
      </c>
      <c r="B10" s="18" t="n"/>
      <c r="C10" s="18" t="n"/>
      <c r="D10" s="18" t="n"/>
      <c r="E10" s="18" t="n"/>
      <c r="F10" s="18" t="n"/>
      <c r="G10" s="18" t="n"/>
      <c r="H10" s="16" t="inlineStr">
        <is>
          <t>Units sold × $6.00 COGS per unit.</t>
        </is>
      </c>
    </row>
    <row r="11" ht="24" customHeight="1">
      <c r="A11" s="8" t="inlineStr">
        <is>
          <t>- Inbound Freight</t>
        </is>
      </c>
      <c r="B11" s="18" t="n"/>
      <c r="C11" s="18" t="n"/>
      <c r="D11" s="18" t="n"/>
      <c r="E11" s="18" t="n"/>
      <c r="F11" s="18" t="n"/>
      <c r="G11" s="18" t="n"/>
      <c r="H11" s="16" t="inlineStr">
        <is>
          <t>Freight invoices paid this month ($0 most months, ~$1,200 when shipment arrives).</t>
        </is>
      </c>
    </row>
    <row r="12" ht="24" customHeight="1">
      <c r="A12" s="4" t="inlineStr">
        <is>
          <t>- Packaging</t>
        </is>
      </c>
      <c r="B12" s="18" t="n"/>
      <c r="C12" s="18" t="n"/>
      <c r="D12" s="18" t="n"/>
      <c r="E12" s="18" t="n"/>
      <c r="F12" s="18" t="n"/>
      <c r="G12" s="18" t="n"/>
      <c r="H12" s="16" t="inlineStr">
        <is>
          <t>Poly mailers, stickers, insert cards purchased this month.</t>
        </is>
      </c>
    </row>
    <row r="13" ht="24" customHeight="1">
      <c r="A13" s="8" t="inlineStr">
        <is>
          <t>- Outbound Shipping</t>
        </is>
      </c>
      <c r="B13" s="18" t="n"/>
      <c r="C13" s="18" t="n"/>
      <c r="D13" s="18" t="n"/>
      <c r="E13" s="18" t="n"/>
      <c r="F13" s="18" t="n"/>
      <c r="G13" s="18" t="n"/>
      <c r="H13" s="16" t="inlineStr">
        <is>
          <t>Total Shopify Shipping label costs this month.</t>
        </is>
      </c>
    </row>
    <row r="14" ht="24" customHeight="1">
      <c r="A14" s="4" t="inlineStr">
        <is>
          <t>- Payment Processing</t>
        </is>
      </c>
      <c r="B14" s="18" t="n"/>
      <c r="C14" s="18" t="n"/>
      <c r="D14" s="18" t="n"/>
      <c r="E14" s="18" t="n"/>
      <c r="F14" s="18" t="n"/>
      <c r="G14" s="18" t="n"/>
      <c r="H14" s="16" t="inlineStr">
        <is>
          <t>Shopify Payments fees + PayPal fees (from Shopify → Settings → Payments → view payouts).</t>
        </is>
      </c>
    </row>
    <row r="15" ht="24" customHeight="1">
      <c r="A15" s="26">
        <f> TOTAL VARIABLE COSTS</f>
        <v/>
      </c>
      <c r="B15" s="12" t="n"/>
      <c r="C15" s="12" t="n"/>
      <c r="D15" s="12" t="n"/>
      <c r="E15" s="12" t="n"/>
      <c r="F15" s="12" t="n"/>
      <c r="G15" s="12" t="n"/>
      <c r="H15" s="16">
        <f>Sum of COGS through Processing</f>
        <v/>
      </c>
    </row>
    <row r="17" ht="24" customHeight="1">
      <c r="A17" s="8" t="inlineStr">
        <is>
          <t>- Shopify + Apps</t>
        </is>
      </c>
      <c r="B17" s="18" t="n"/>
      <c r="C17" s="18" t="n"/>
      <c r="D17" s="18" t="n"/>
      <c r="E17" s="18" t="n"/>
      <c r="F17" s="18" t="n"/>
      <c r="G17" s="18" t="n"/>
      <c r="H17" s="16" t="inlineStr">
        <is>
          <t>Monthly subscription charges.</t>
        </is>
      </c>
    </row>
    <row r="18" ht="24" customHeight="1">
      <c r="A18" s="4" t="inlineStr">
        <is>
          <t>- Meta Ads</t>
        </is>
      </c>
      <c r="B18" s="18" t="n"/>
      <c r="C18" s="18" t="n"/>
      <c r="D18" s="18" t="n"/>
      <c r="E18" s="18" t="n"/>
      <c r="F18" s="18" t="n"/>
      <c r="G18" s="18" t="n"/>
      <c r="H18" s="16" t="inlineStr">
        <is>
          <t>Meta Ads Manager → total spend this month.</t>
        </is>
      </c>
    </row>
    <row r="19" ht="24" customHeight="1">
      <c r="A19" s="8" t="inlineStr">
        <is>
          <t>- Google Ads</t>
        </is>
      </c>
      <c r="B19" s="18" t="n"/>
      <c r="C19" s="18" t="n"/>
      <c r="D19" s="18" t="n"/>
      <c r="E19" s="18" t="n"/>
      <c r="F19" s="18" t="n"/>
      <c r="G19" s="18" t="n"/>
      <c r="H19" s="16" t="inlineStr">
        <is>
          <t>Google Ads → total spend this month.</t>
        </is>
      </c>
    </row>
    <row r="20" ht="24" customHeight="1">
      <c r="A20" s="4" t="inlineStr">
        <is>
          <t>- Content / Marketing</t>
        </is>
      </c>
      <c r="B20" s="18" t="n"/>
      <c r="C20" s="18" t="n"/>
      <c r="D20" s="18" t="n"/>
      <c r="E20" s="18" t="n"/>
      <c r="F20" s="18" t="n"/>
      <c r="G20" s="18" t="n"/>
      <c r="H20" s="16" t="inlineStr">
        <is>
          <t>Canva, Later, freelance editing, etc.</t>
        </is>
      </c>
    </row>
    <row r="21" ht="24" customHeight="1">
      <c r="A21" s="8" t="inlineStr">
        <is>
          <t>- Samples / Events</t>
        </is>
      </c>
      <c r="B21" s="18" t="n"/>
      <c r="C21" s="18" t="n"/>
      <c r="D21" s="18" t="n"/>
      <c r="E21" s="18" t="n"/>
      <c r="F21" s="18" t="n"/>
      <c r="G21" s="18" t="n"/>
      <c r="H21" s="16" t="inlineStr">
        <is>
          <t>Influencer samples, expo costs, event spend.</t>
        </is>
      </c>
    </row>
    <row r="22" ht="24" customHeight="1">
      <c r="A22" s="4" t="inlineStr">
        <is>
          <t>- Admin / Insurance</t>
        </is>
      </c>
      <c r="B22" s="18" t="n"/>
      <c r="C22" s="18" t="n"/>
      <c r="D22" s="18" t="n"/>
      <c r="E22" s="18" t="n"/>
      <c r="F22" s="18" t="n"/>
      <c r="G22" s="18" t="n"/>
      <c r="H22" s="16" t="inlineStr">
        <is>
          <t>CPA, insurance premium, registered agent, misc.</t>
        </is>
      </c>
    </row>
    <row r="23" ht="24" customHeight="1">
      <c r="A23" s="26">
        <f> TOTAL FIXED COSTS</f>
        <v/>
      </c>
      <c r="B23" s="12" t="n"/>
      <c r="C23" s="12" t="n"/>
      <c r="D23" s="12" t="n"/>
      <c r="E23" s="12" t="n"/>
      <c r="F23" s="12" t="n"/>
      <c r="G23" s="12" t="n"/>
      <c r="H23" s="16">
        <f>Sum of Shopify through Admin</f>
        <v/>
      </c>
    </row>
    <row r="25" ht="24" customHeight="1">
      <c r="A25" s="26">
        <f> NET CASH FLOW</f>
        <v/>
      </c>
      <c r="B25" s="12" t="n"/>
      <c r="C25" s="12" t="n"/>
      <c r="D25" s="12" t="n"/>
      <c r="E25" s="12" t="n"/>
      <c r="F25" s="12" t="n"/>
      <c r="G25" s="12" t="n"/>
      <c r="H25" s="16">
        <f>Net Revenue - Total Variable - Total Fixed</f>
        <v/>
      </c>
    </row>
    <row r="26" ht="24" customHeight="1">
      <c r="A26" s="26">
        <f> CLOSING CASH BALANCE</f>
        <v/>
      </c>
      <c r="B26" s="12" t="n"/>
      <c r="C26" s="12" t="n"/>
      <c r="D26" s="12" t="n"/>
      <c r="E26" s="12" t="n"/>
      <c r="F26" s="12" t="n"/>
      <c r="G26" s="12" t="n"/>
      <c r="H26" s="16">
        <f>Opening + Net Cash Flow</f>
        <v/>
      </c>
    </row>
    <row r="28" ht="24" customHeight="1">
      <c r="A28" s="26" t="inlineStr">
        <is>
          <t>RUNWAY (months)</t>
        </is>
      </c>
      <c r="B28" s="18" t="n"/>
      <c r="C28" s="18" t="n"/>
      <c r="D28" s="18" t="n"/>
      <c r="E28" s="18" t="n"/>
      <c r="F28" s="18" t="n"/>
      <c r="G28" s="18" t="n"/>
      <c r="H28" s="16">
        <f>Closing Balance ÷ Total Fixed Costs. Target: &gt;3 months. Below 2 = EMERGENCY.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2026-04-09T07:37:19Z</dcterms:created>
  <dcterms:modified xmlns:dcterms="http://purl.org/dc/terms/" xmlns:xsi="http://www.w3.org/2001/XMLSchema-instance" xsi:type="dcterms:W3CDTF">2026-04-09T07:37:19Z</dcterms:modified>
</cp:coreProperties>
</file>