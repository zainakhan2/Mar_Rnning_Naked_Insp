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worksheets/sheet15.xml" ContentType="application/vnd.openxmlformats-officedocument.spreadsheetml.worksheet+xml"/>
  <Override PartName="/xl/worksheets/sheet4.xml" ContentType="application/vnd.openxmlformats-officedocument.spreadsheetml.work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2.xml" ContentType="application/vnd.openxmlformats-officedocument.spreadsheetml.worksheet+xml"/>
  <Override PartName="/xl/worksheets/sheet7.xml" ContentType="application/vnd.openxmlformats-officedocument.spreadsheetml.worksheet+xml"/>
  <Override PartName="/xl/worksheets/sheet13.xml" ContentType="application/vnd.openxmlformats-officedocument.spreadsheetml.worksheet+xml"/>
  <Override PartName="/xl/worksheets/sheet8.xml" ContentType="application/vnd.openxmlformats-officedocument.spreadsheetml.worksheet+xml"/>
  <Override PartName="/xl/worksheets/sheet14.xml" ContentType="application/vnd.openxmlformats-officedocument.spreadsheetml.worksheet+xml"/>
  <Override PartName="/xl/worksheets/sheet9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SHBOARD" sheetId="1" state="visible" r:id="rId3"/>
    <sheet name="P0" sheetId="2" state="visible" r:id="rId4"/>
    <sheet name="P1" sheetId="3" state="visible" r:id="rId5"/>
    <sheet name="P2" sheetId="4" state="visible" r:id="rId6"/>
    <sheet name="P3" sheetId="5" state="visible" r:id="rId7"/>
    <sheet name="P4" sheetId="6" state="visible" r:id="rId8"/>
    <sheet name="P5" sheetId="7" state="visible" r:id="rId9"/>
    <sheet name="P6" sheetId="8" state="visible" r:id="rId10"/>
    <sheet name="P7" sheetId="9" state="visible" r:id="rId11"/>
    <sheet name="P8" sheetId="10" state="visible" r:id="rId12"/>
    <sheet name="P9" sheetId="11" state="visible" r:id="rId13"/>
    <sheet name="P10" sheetId="12" state="visible" r:id="rId14"/>
    <sheet name="P11" sheetId="13" state="visible" r:id="rId15"/>
    <sheet name="P12" sheetId="14" state="visible" r:id="rId16"/>
    <sheet name="SUMMARY" sheetId="15" state="visible" r:id="rId1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<sst xmlns="http://schemas.openxmlformats.org/spreadsheetml/2006/main" count="3876" uniqueCount="2115">
  <si>
    <t xml:space="preserve">D2C RUNNING BELT BRAND — GTM MASTER TRACKER</t>
  </si>
  <si>
    <t xml:space="preserve">Complete Launch Playbook  |  March 2026  |  Target: $29–39 DTC  |  Alibaba Mfg  |  Global D2C  |  $10K Bootstrap Budget</t>
  </si>
  <si>
    <t xml:space="preserve">Project</t>
  </si>
  <si>
    <t xml:space="preserve">Description</t>
  </si>
  <si>
    <t xml:space="preserve">Duration</t>
  </si>
  <si>
    <t xml:space="preserve">Subprojects</t>
  </si>
  <si>
    <t xml:space="preserve">Total Tasks</t>
  </si>
  <si>
    <t xml:space="preserve">Completed</t>
  </si>
  <si>
    <t xml:space="preserve">% Complete</t>
  </si>
  <si>
    <t xml:space="preserve">Status</t>
  </si>
  <si>
    <t xml:space="preserve">Budget ($10K)</t>
  </si>
  <si>
    <t xml:space="preserve">Critical Path?</t>
  </si>
  <si>
    <t xml:space="preserve">Dependencies</t>
  </si>
  <si>
    <t xml:space="preserve">P0</t>
  </si>
  <si>
    <t xml:space="preserve">Market Research &amp; Concept Validation</t>
  </si>
  <si>
    <t xml:space="preserve">Wk 1–6</t>
  </si>
  <si>
    <t xml:space="preserve">Not Started</t>
  </si>
  <si>
    <t xml:space="preserve">$700</t>
  </si>
  <si>
    <t xml:space="preserve">YES</t>
  </si>
  <si>
    <t xml:space="preserve">—</t>
  </si>
  <si>
    <t xml:space="preserve">P1</t>
  </si>
  <si>
    <t xml:space="preserve">Brand Development &amp; Identity</t>
  </si>
  <si>
    <t xml:space="preserve">Wk 4–8</t>
  </si>
  <si>
    <t xml:space="preserve">$600</t>
  </si>
  <si>
    <t xml:space="preserve">P2</t>
  </si>
  <si>
    <t xml:space="preserve">Product Design &amp; Engineering</t>
  </si>
  <si>
    <t xml:space="preserve">Wk 4–10</t>
  </si>
  <si>
    <t xml:space="preserve">$400</t>
  </si>
  <si>
    <t xml:space="preserve">P3</t>
  </si>
  <si>
    <t xml:space="preserve">Manufacturing &amp; First Production Run</t>
  </si>
  <si>
    <t xml:space="preserve">Wk 8–14</t>
  </si>
  <si>
    <t xml:space="preserve">$3,500</t>
  </si>
  <si>
    <t xml:space="preserve">P4</t>
  </si>
  <si>
    <t xml:space="preserve">Digital Infrastructure &amp; E-Commerce</t>
  </si>
  <si>
    <t xml:space="preserve">Wk 6–12</t>
  </si>
  <si>
    <t xml:space="preserve">$500</t>
  </si>
  <si>
    <t xml:space="preserve">P5</t>
  </si>
  <si>
    <t xml:space="preserve">Content, Community &amp; Influencer Marketing</t>
  </si>
  <si>
    <t xml:space="preserve">Wk 8–20</t>
  </si>
  <si>
    <t xml:space="preserve">NO</t>
  </si>
  <si>
    <t xml:space="preserve">P1, P3</t>
  </si>
  <si>
    <t xml:space="preserve">P6</t>
  </si>
  <si>
    <t xml:space="preserve">Launch Execution &amp; Paid Acquisition</t>
  </si>
  <si>
    <t xml:space="preserve">Wk 12–20</t>
  </si>
  <si>
    <t xml:space="preserve">$1,500</t>
  </si>
  <si>
    <t xml:space="preserve">P3, P4, P5</t>
  </si>
  <si>
    <t xml:space="preserve">P7</t>
  </si>
  <si>
    <t xml:space="preserve">Financial Operations &amp; Cash Flow</t>
  </si>
  <si>
    <t xml:space="preserve">Wk 1–Ongoing</t>
  </si>
  <si>
    <t xml:space="preserve">$200</t>
  </si>
  <si>
    <t xml:space="preserve">P8</t>
  </si>
  <si>
    <t xml:space="preserve">Legal, Compliance &amp; IP Protection</t>
  </si>
  <si>
    <t xml:space="preserve">Wk 1–10</t>
  </si>
  <si>
    <t xml:space="preserve">P9</t>
  </si>
  <si>
    <t xml:space="preserve">Customer Experience &amp; Retention</t>
  </si>
  <si>
    <t xml:space="preserve">Wk 12–Ongoing</t>
  </si>
  <si>
    <t xml:space="preserve">$100</t>
  </si>
  <si>
    <t xml:space="preserve">P4, P6</t>
  </si>
  <si>
    <t xml:space="preserve">P10</t>
  </si>
  <si>
    <t xml:space="preserve">Supply Chain &amp; Fulfillment</t>
  </si>
  <si>
    <t xml:space="preserve">Wk 10–Ongoing</t>
  </si>
  <si>
    <t xml:space="preserve">P11</t>
  </si>
  <si>
    <t xml:space="preserve">Growth &amp; Scaling Roadmap</t>
  </si>
  <si>
    <t xml:space="preserve">Mo 6–18</t>
  </si>
  <si>
    <t xml:space="preserve">$800+</t>
  </si>
  <si>
    <t xml:space="preserve">P12</t>
  </si>
  <si>
    <t xml:space="preserve">Sustainability &amp; Brand Purpose</t>
  </si>
  <si>
    <t xml:space="preserve">Wk 4–Ongoing</t>
  </si>
  <si>
    <t xml:space="preserve">P0, P1</t>
  </si>
  <si>
    <t xml:space="preserve">TOTAL</t>
  </si>
  <si>
    <t xml:space="preserve">$10,000</t>
  </si>
  <si>
    <t xml:space="preserve">P0: MARKET RESEARCH &amp; CONCEPT VALIDATION  |  Weeks 1–6  |  7 Subprojects  |  42 Tasks</t>
  </si>
  <si>
    <t xml:space="preserve">STATUS KEY:  Complete = Delivered  |  In Progress = Actively working  |  Not Started = Pending  |  Blocked = Dependency issue  |  Needs Validation = Verify data</t>
  </si>
  <si>
    <t xml:space="preserve">ID</t>
  </si>
  <si>
    <t xml:space="preserve">Sub</t>
  </si>
  <si>
    <t xml:space="preserve">Task</t>
  </si>
  <si>
    <t xml:space="preserve">Owner</t>
  </si>
  <si>
    <t xml:space="preserve">Timeline</t>
  </si>
  <si>
    <t xml:space="preserve">Priority</t>
  </si>
  <si>
    <t xml:space="preserve">KPI / Success Metric</t>
  </si>
  <si>
    <t xml:space="preserve">Target</t>
  </si>
  <si>
    <t xml:space="preserve">Actual</t>
  </si>
  <si>
    <t xml:space="preserve">% Done</t>
  </si>
  <si>
    <t xml:space="preserve">Notes / Evidence</t>
  </si>
  <si>
    <t xml:space="preserve">Deliverable</t>
  </si>
  <si>
    <t xml:space="preserve">0A: Running Belt Competitive Intelligence (Wk 1–2) — 8 tasks</t>
  </si>
  <si>
    <t xml:space="preserve">0A.01</t>
  </si>
  <si>
    <t xml:space="preserve">0A</t>
  </si>
  <si>
    <t xml:space="preserve">Map all running belt products across 4 pricing tiers: Budget (&lt;$20), Value ($20–35), Mid ($35–55), Premium ($55+)</t>
  </si>
  <si>
    <t xml:space="preserve">Founder</t>
  </si>
  <si>
    <t xml:space="preserve">Wk 1</t>
  </si>
  <si>
    <t xml:space="preserve">Critical</t>
  </si>
  <si>
    <t xml:space="preserve">Products mapped with full specs</t>
  </si>
  <si>
    <t xml:space="preserve">25+ products across all tiers</t>
  </si>
  <si>
    <t xml:space="preserve">Cover: FlipBelt, SPIbelt, Naked, Nathan, Fitletic, Lululemon, Salomon, CamelBak, generic Amazon brands. 15+ data points per product.</t>
  </si>
  <si>
    <t xml:space="preserve">Competitive database</t>
  </si>
  <si>
    <t xml:space="preserve">0A.02</t>
  </si>
  <si>
    <t xml:space="preserve">Purchase top 5 competitor products (FlipBelt Classic, SPIbelt Original, Naked Running Band, Nathan Zipster, Fitletic Bolt) for hands-on testing</t>
  </si>
  <si>
    <t xml:space="preserve">Products received and tested</t>
  </si>
  <si>
    <t xml:space="preserve">5 competitor products purchased</t>
  </si>
  <si>
    <t xml:space="preserve">Budget: ~$200. Run 5+ miles in each. Document bounce, comfort, capacity, sweat, access, durability.</t>
  </si>
  <si>
    <t xml:space="preserve">Competitor test report</t>
  </si>
  <si>
    <t xml:space="preserve">0A.03</t>
  </si>
  <si>
    <t xml:space="preserve">Analyze Amazon reviews for top 5 competitors: extract top 10 complaints and top 10 praise points for each</t>
  </si>
  <si>
    <t xml:space="preserve">Wk 1–2</t>
  </si>
  <si>
    <t xml:space="preserve">High</t>
  </si>
  <si>
    <t xml:space="preserve">Review analysis complete</t>
  </si>
  <si>
    <t xml:space="preserve">250+ reviews analyzed per product</t>
  </si>
  <si>
    <t xml:space="preserve">Use 1-star and 5-star reviews. Key themes: bounce, sizing, chafing, phone fit, zipper quality, sweat-through.</t>
  </si>
  <si>
    <t xml:space="preserve">Review analysis doc</t>
  </si>
  <si>
    <t xml:space="preserve">0A.04</t>
  </si>
  <si>
    <t xml:space="preserve">Map competitor pricing strategies: MSRP, sale frequency, Amazon vs D2C pricing, bundle offers, subscription models</t>
  </si>
  <si>
    <t xml:space="preserve">Pricing matrix complete</t>
  </si>
  <si>
    <t xml:space="preserve">All 5 tiers mapped</t>
  </si>
  <si>
    <t xml:space="preserve">Track: FlipBelt ($28–65), SPIbelt ($20–39), Naked ($50–95), Nathan ($20–50), Fitletic ($15–80).</t>
  </si>
  <si>
    <t xml:space="preserve">Pricing matrix</t>
  </si>
  <si>
    <t xml:space="preserve">0A.05</t>
  </si>
  <si>
    <t xml:space="preserve">Identify and document 3 specific unmet needs / market gaps from competitor analysis</t>
  </si>
  <si>
    <t xml:space="preserve">Wk 2</t>
  </si>
  <si>
    <t xml:space="preserve">Gap analysis documented</t>
  </si>
  <si>
    <t xml:space="preserve">3+ validated gaps identified</t>
  </si>
  <si>
    <t xml:space="preserve">Known gaps: sustainability-first brand, women-specific design, smart tech integration, adjustable + high-capacity combo.</t>
  </si>
  <si>
    <t xml:space="preserve">Gap analysis</t>
  </si>
  <si>
    <t xml:space="preserve">0A.06</t>
  </si>
  <si>
    <t xml:space="preserve">Analyze competitor SEO: top 20 keywords each for FlipBelt, SPIbelt, Naked using Ubersuggest/free SEMrush</t>
  </si>
  <si>
    <t xml:space="preserve">Medium</t>
  </si>
  <si>
    <t xml:space="preserve">SEO audit complete</t>
  </si>
  <si>
    <t xml:space="preserve">60+ keywords mapped</t>
  </si>
  <si>
    <t xml:space="preserve">Focus on: search volume, difficulty, CPC. Identify low-competition long-tail opportunities.</t>
  </si>
  <si>
    <t xml:space="preserve">SEO keyword map</t>
  </si>
  <si>
    <t xml:space="preserve">0A.07</t>
  </si>
  <si>
    <t xml:space="preserve">Document competitor social media strategy: posting frequency, content types, engagement rates, follower counts</t>
  </si>
  <si>
    <t xml:space="preserve">Social audit complete</t>
  </si>
  <si>
    <t xml:space="preserve">5 brands audited</t>
  </si>
  <si>
    <t xml:space="preserve">FlipBelt ~32K IG, SPIbelt ~46K IG, Naked ~18K IG, Nathan ~73K IG, Fitletic ~5K IG.</t>
  </si>
  <si>
    <t xml:space="preserve">Social media audit</t>
  </si>
  <si>
    <t xml:space="preserve">0A.08</t>
  </si>
  <si>
    <t xml:space="preserve">Map competitor distribution channels: D2C site, Amazon, REI, Dick's, specialty running stores, international</t>
  </si>
  <si>
    <t xml:space="preserve">Channel map complete</t>
  </si>
  <si>
    <t xml:space="preserve">All channels mapped per brand</t>
  </si>
  <si>
    <t xml:space="preserve">Key insight: Naked avoids Amazon entirely (premium control). FlipBelt dominates Amazon (18K+ reviews).</t>
  </si>
  <si>
    <t xml:space="preserve">Distribution map</t>
  </si>
  <si>
    <t xml:space="preserve">0B: Target Customer Research (Wk 1–3) — 7 tasks</t>
  </si>
  <si>
    <t xml:space="preserve">0B.01</t>
  </si>
  <si>
    <t xml:space="preserve">0B</t>
  </si>
  <si>
    <t xml:space="preserve">Define 3 primary customer personas: Casual Jogger, Serious Racer, Ultra/Trail Runner with demographics and psychographics</t>
  </si>
  <si>
    <t xml:space="preserve">Personas documented</t>
  </si>
  <si>
    <t xml:space="preserve">3 detailed personas</t>
  </si>
  <si>
    <t xml:space="preserve">Include: age, gender, income, running frequency, gear spend, media consumption, purchase triggers.</t>
  </si>
  <si>
    <t xml:space="preserve">Persona document</t>
  </si>
  <si>
    <t xml:space="preserve">0B.02</t>
  </si>
  <si>
    <t xml:space="preserve">Join 5+ running communities (r/running, r/trailrunning, Strava clubs, FB groups) and lurk/document pain points for 2 weeks</t>
  </si>
  <si>
    <t xml:space="preserve">Wk 1–3</t>
  </si>
  <si>
    <t xml:space="preserve">Community insights documented</t>
  </si>
  <si>
    <t xml:space="preserve">50+ pain points collected</t>
  </si>
  <si>
    <t xml:space="preserve">Search terms: "running belt recommendation", "phone while running", "best running belt". Screenshot and categorize.</t>
  </si>
  <si>
    <t xml:space="preserve">Community research doc</t>
  </si>
  <si>
    <t xml:space="preserve">0B.03</t>
  </si>
  <si>
    <t xml:space="preserve">Create and distribute a 10-question Google Forms survey to 3+ running groups/forums</t>
  </si>
  <si>
    <t xml:space="preserve">Survey distributed</t>
  </si>
  <si>
    <t xml:space="preserve">100+ responses</t>
  </si>
  <si>
    <t xml:space="preserve">Questions: current belt brand, price paid, #1 complaint, ideal features, willingness to pay, purchase channel preference.</t>
  </si>
  <si>
    <t xml:space="preserve">Survey + results</t>
  </si>
  <si>
    <t xml:space="preserve">0B.04</t>
  </si>
  <si>
    <t xml:space="preserve">Conduct 5 phone/video interviews with runners of varying levels (5K to ultra) about their belt/carrying frustrations</t>
  </si>
  <si>
    <t xml:space="preserve">Wk 2–3</t>
  </si>
  <si>
    <t xml:space="preserve">Interviews completed</t>
  </si>
  <si>
    <t xml:space="preserve">5 interviews (30 min each)</t>
  </si>
  <si>
    <t xml:space="preserve">Recruit from local running club or Reddit. Record with permission. Focus on unmet needs.</t>
  </si>
  <si>
    <t xml:space="preserve">Interview transcripts</t>
  </si>
  <si>
    <t xml:space="preserve">0B.05</t>
  </si>
  <si>
    <t xml:space="preserve">Analyze Google Trends for "running belt", "running fanny pack", "phone holder running" — identify seasonality and growth</t>
  </si>
  <si>
    <t xml:space="preserve">Trends analysis complete</t>
  </si>
  <si>
    <t xml:space="preserve">5+ search terms analyzed</t>
  </si>
  <si>
    <t xml:space="preserve">Peak months: Jan (resolutions), Mar-May (spring races), Aug-Sep (fall training). Compare 5yr trend.</t>
  </si>
  <si>
    <t xml:space="preserve">Trends report</t>
  </si>
  <si>
    <t xml:space="preserve">0B.06</t>
  </si>
  <si>
    <t xml:space="preserve">Research running participation statistics: US runners, global runners, marathon finishers, trail running growth</t>
  </si>
  <si>
    <t xml:space="preserve">Market sizing data collected</t>
  </si>
  <si>
    <t xml:space="preserve">TAM/SAM/SOM estimated</t>
  </si>
  <si>
    <t xml:space="preserve">50M+ US runners, 14.8M trail runners (12% YoY growth), marathon finishers up 26% in H1 2024.</t>
  </si>
  <si>
    <t xml:space="preserve">Market size doc</t>
  </si>
  <si>
    <t xml:space="preserve">0B.07</t>
  </si>
  <si>
    <t xml:space="preserve">Identify which customer segment to target FIRST based on research (recommended: women marathoners or eco-conscious runners)</t>
  </si>
  <si>
    <t xml:space="preserve">Wk 3</t>
  </si>
  <si>
    <t xml:space="preserve">Primary segment selected</t>
  </si>
  <si>
    <t xml:space="preserve">1 segment chosen with rationale</t>
  </si>
  <si>
    <t xml:space="preserve">Must be specific enough to own, large enough to sustain. Avoid "all runners" — that's not a niche.</t>
  </si>
  <si>
    <t xml:space="preserve">Segment decision doc</t>
  </si>
  <si>
    <t xml:space="preserve">0C: Product Concept Development (Wk 2–4) — 6 tasks</t>
  </si>
  <si>
    <t xml:space="preserve">0C.01</t>
  </si>
  <si>
    <t xml:space="preserve">0C</t>
  </si>
  <si>
    <t xml:space="preserve">Define the ONE core differentiator for your belt based on gap analysis (e.g., eco-first, women-specific, adjustable+capacity)</t>
  </si>
  <si>
    <t xml:space="preserve">Differentiator documented</t>
  </si>
  <si>
    <t xml:space="preserve">1 clear USP statement</t>
  </si>
  <si>
    <t xml:space="preserve">Test: "We are the ONLY running belt that ___." If you can't complete this, keep refining.</t>
  </si>
  <si>
    <t xml:space="preserve">USP statement</t>
  </si>
  <si>
    <t xml:space="preserve">0C.02</t>
  </si>
  <si>
    <t xml:space="preserve">Create initial product spec sheet: material, dimensions, pockets, closure, sizing system, weight target, color options</t>
  </si>
  <si>
    <t xml:space="preserve">Spec sheet created</t>
  </si>
  <si>
    <t xml:space="preserve">Full spec documented</t>
  </si>
  <si>
    <t xml:space="preserve">Benchmark: FlipBelt=tube/spandex, SPIbelt=expandable/nylon, Naked=mesh/12sizes. Where do you innovate?</t>
  </si>
  <si>
    <t xml:space="preserve">Product spec v1</t>
  </si>
  <si>
    <t xml:space="preserve">0C.03</t>
  </si>
  <si>
    <t xml:space="preserve">Sketch 3–5 rough product concepts (hand-drawn or Canva) showing key design features</t>
  </si>
  <si>
    <t xml:space="preserve">Concepts sketched</t>
  </si>
  <si>
    <t xml:space="preserve">3–5 concepts</t>
  </si>
  <si>
    <t xml:space="preserve">Focus on: pocket layout, closure mechanism, sizing approach, material zones, reflective elements.</t>
  </si>
  <si>
    <t xml:space="preserve">Concept sketches</t>
  </si>
  <si>
    <t xml:space="preserve">0C.04</t>
  </si>
  <si>
    <t xml:space="preserve">Define target price point and work backwards to required COGS (target 70%+ gross margin at $29–39 retail)</t>
  </si>
  <si>
    <t xml:space="preserve">Wk 3–4</t>
  </si>
  <si>
    <t xml:space="preserve">Price/margin model built</t>
  </si>
  <si>
    <t xml:space="preserve">Retail price + target COGS</t>
  </si>
  <si>
    <t xml:space="preserve">At $35 retail, need COGS &lt;$10.50 for 70% margin. Alibaba belts: $3–8/unit at 200–500 MOQ.</t>
  </si>
  <si>
    <t xml:space="preserve">Pricing model</t>
  </si>
  <si>
    <t xml:space="preserve">0C.05</t>
  </si>
  <si>
    <t xml:space="preserve">Test product concept with 10 runner friends: show sketches, describe features, ask willingness to pay</t>
  </si>
  <si>
    <t xml:space="preserve">Wk 4</t>
  </si>
  <si>
    <t xml:space="preserve">Concept feedback collected</t>
  </si>
  <si>
    <t xml:space="preserve">10+ people tested</t>
  </si>
  <si>
    <t xml:space="preserve">Use "would you buy this at $X?" not "do you like it?" — purchase intent is what matters.</t>
  </si>
  <si>
    <t xml:space="preserve">Concept test results</t>
  </si>
  <si>
    <t xml:space="preserve">0C.06</t>
  </si>
  <si>
    <t xml:space="preserve">Finalize v1 product concept based on all research — create a 1-page product brief</t>
  </si>
  <si>
    <t xml:space="preserve">Product brief finalized</t>
  </si>
  <si>
    <t xml:space="preserve">1-page brief approved</t>
  </si>
  <si>
    <t xml:space="preserve">Brief covers: target customer, USP, specs, price, positioning vs competitors, launch channel.</t>
  </si>
  <si>
    <t xml:space="preserve">Product brief v1</t>
  </si>
  <si>
    <t xml:space="preserve">0D: Alibaba Supplier Scouting (Wk 3–5) — 6 tasks</t>
  </si>
  <si>
    <t xml:space="preserve">0D.01</t>
  </si>
  <si>
    <t xml:space="preserve">0D</t>
  </si>
  <si>
    <t xml:space="preserve">Search Alibaba for "running belt manufacturer" — identify and shortlist 15+ suppliers with Gold Supplier status and Trade Assurance</t>
  </si>
  <si>
    <t xml:space="preserve">Supplier longlist created</t>
  </si>
  <si>
    <t xml:space="preserve">15+ suppliers identified</t>
  </si>
  <si>
    <t xml:space="preserve">3,759+ running belt suppliers on Alibaba. Filter: Gold Supplier, Trade Assurance, 3+ years, reviews.</t>
  </si>
  <si>
    <t xml:space="preserve">Supplier longlist</t>
  </si>
  <si>
    <t xml:space="preserve">0D.02</t>
  </si>
  <si>
    <t xml:space="preserve">Send RFQ (Request for Quote) to top 10 suppliers with your product spec sheet and ask: MOQ, unit price at 200/500/1000, sample cost, lead time</t>
  </si>
  <si>
    <t xml:space="preserve">RFQs sent</t>
  </si>
  <si>
    <t xml:space="preserve">10 RFQs sent</t>
  </si>
  <si>
    <t xml:space="preserve">Include: product specs, material preferences, desired features. Ask for their product catalog too.</t>
  </si>
  <si>
    <t xml:space="preserve">RFQ tracker</t>
  </si>
  <si>
    <t xml:space="preserve">0D.03</t>
  </si>
  <si>
    <t xml:space="preserve">Compare all supplier responses: price, MOQ, sample cost, lead time, communication quality, portfolio quality</t>
  </si>
  <si>
    <t xml:space="preserve">Comparison matrix complete</t>
  </si>
  <si>
    <t xml:space="preserve">All responses compared</t>
  </si>
  <si>
    <t xml:space="preserve">Red flags: no Trade Assurance, won't send samples, MOQ &gt;500, no custom capability, poor English.</t>
  </si>
  <si>
    <t xml:space="preserve">Supplier comparison matrix</t>
  </si>
  <si>
    <t xml:space="preserve">0D.04</t>
  </si>
  <si>
    <t xml:space="preserve">Order 3–5 samples from top 3 suppliers ($50–150 total including shipping)</t>
  </si>
  <si>
    <t xml:space="preserve">Wk 4–5</t>
  </si>
  <si>
    <t xml:space="preserve">Samples ordered</t>
  </si>
  <si>
    <t xml:space="preserve">3–5 samples from 3 suppliers</t>
  </si>
  <si>
    <t xml:space="preserve">Sample cost typically $5–20/unit + $20–50 shipping. Some suppliers offer free samples (you pay shipping).</t>
  </si>
  <si>
    <t xml:space="preserve">Sample order confirmation</t>
  </si>
  <si>
    <t xml:space="preserve">0D.05</t>
  </si>
  <si>
    <t xml:space="preserve">Test all samples: run 5+ miles in each, wash 3 times, stress-test zippers/seams, measure against spec</t>
  </si>
  <si>
    <t xml:space="preserve">Wk 5</t>
  </si>
  <si>
    <t xml:space="preserve">Sample testing complete</t>
  </si>
  <si>
    <t xml:space="preserve">All samples tested</t>
  </si>
  <si>
    <t xml:space="preserve">Grade each on: material quality, stitching, bounce, comfort, capacity, durability, phone fit.</t>
  </si>
  <si>
    <t xml:space="preserve">Sample test report</t>
  </si>
  <si>
    <t xml:space="preserve">0D.06</t>
  </si>
  <si>
    <t xml:space="preserve">Select primary supplier and negotiate final terms: price, MOQ, payment terms, customization options</t>
  </si>
  <si>
    <t xml:space="preserve">Supplier selected</t>
  </si>
  <si>
    <t xml:space="preserve">1 primary + 1 backup supplier</t>
  </si>
  <si>
    <t xml:space="preserve">Negotiate: 30% deposit / 70% before shipping. Ask for better price at 500 units. Get written agreement.</t>
  </si>
  <si>
    <t xml:space="preserve">Supplier agreement</t>
  </si>
  <si>
    <t xml:space="preserve">0E: Financial Feasibility (Wk 3–5) — 5 tasks</t>
  </si>
  <si>
    <t xml:space="preserve">0E.01</t>
  </si>
  <si>
    <t xml:space="preserve">0E</t>
  </si>
  <si>
    <t xml:space="preserve">Build unit economics model: COGS + shipping + packaging + transaction fees + marketing CAC = contribution margin</t>
  </si>
  <si>
    <t xml:space="preserve">Unit economics modeled</t>
  </si>
  <si>
    <t xml:space="preserve">Positive contribution margin</t>
  </si>
  <si>
    <t xml:space="preserve">Target: COGS $5–8, packaging $1–2, shipping $4–6, Shopify+payment 5%, CAC &lt;$15. Need &gt;$10 contribution.</t>
  </si>
  <si>
    <t xml:space="preserve">Unit economics model</t>
  </si>
  <si>
    <t xml:space="preserve">0E.02</t>
  </si>
  <si>
    <t xml:space="preserve">Build 6-month cash flow projection with $10K starting capital — week by week</t>
  </si>
  <si>
    <t xml:space="preserve">Cash flow model built</t>
  </si>
  <si>
    <t xml:space="preserve">6 months projected</t>
  </si>
  <si>
    <t xml:space="preserve">Key constraint: timing of inventory purchase vs revenue. First inventory purchase is largest cash outflow.</t>
  </si>
  <si>
    <t xml:space="preserve">Cash flow model</t>
  </si>
  <si>
    <t xml:space="preserve">0E.03</t>
  </si>
  <si>
    <t xml:space="preserve">Calculate breakeven: units needed to recover $10K investment at projected margins</t>
  </si>
  <si>
    <t xml:space="preserve">Breakeven calculated</t>
  </si>
  <si>
    <t xml:space="preserve">Breakeven unit count known</t>
  </si>
  <si>
    <t xml:space="preserve">At $35 price, 70% margin = $24.50 gross profit. $10K / $24.50 = ~408 units to breakeven (before CAC).</t>
  </si>
  <si>
    <t xml:space="preserve">Breakeven analysis</t>
  </si>
  <si>
    <t xml:space="preserve">0E.04</t>
  </si>
  <si>
    <t xml:space="preserve">Define budget allocation across all projects: product (40%), marketing (20%), ops (15%), contingency (25%)</t>
  </si>
  <si>
    <t xml:space="preserve">Budget allocated</t>
  </si>
  <si>
    <t xml:space="preserve">$10K fully allocated</t>
  </si>
  <si>
    <t xml:space="preserve">Product: $4,000 | Marketing: $2,000 | Ops/tech: $1,500 | Contingency: $2,500.</t>
  </si>
  <si>
    <t xml:space="preserve">Budget allocation</t>
  </si>
  <si>
    <t xml:space="preserve">0E.05</t>
  </si>
  <si>
    <t xml:space="preserve">Set 6-month revenue targets: Month 1 (launch), Month 3, Month 6 with conservative/moderate/aggressive scenarios</t>
  </si>
  <si>
    <t xml:space="preserve">Revenue targets set</t>
  </si>
  <si>
    <t xml:space="preserve">3 scenarios modeled</t>
  </si>
  <si>
    <t xml:space="preserve">Conservative: 50 units/mo by M6. Moderate: 100/mo. Aggressive: 200/mo.</t>
  </si>
  <si>
    <t xml:space="preserve">Revenue targets</t>
  </si>
  <si>
    <t xml:space="preserve">0F: Niche Validation &amp; Positioning (Wk 4–6) — 5 tasks</t>
  </si>
  <si>
    <t xml:space="preserve">0F.01</t>
  </si>
  <si>
    <t xml:space="preserve">0F</t>
  </si>
  <si>
    <t xml:space="preserve">Write 3 alternative positioning statements and test with 10+ runners: eco belt, women's belt, ultra-slim belt, smart belt</t>
  </si>
  <si>
    <t xml:space="preserve">Positioning tested</t>
  </si>
  <si>
    <t xml:space="preserve">3 positions tested with 10+ people</t>
  </si>
  <si>
    <t xml:space="preserve">Format: "For [target], [brand] is the [category] that [key benefit] because [reason to believe]."</t>
  </si>
  <si>
    <t xml:space="preserve">Positioning test results</t>
  </si>
  <si>
    <t xml:space="preserve">0F.02</t>
  </si>
  <si>
    <t xml:space="preserve">Validate chosen niche has sufficient search volume: target 5,000+ monthly searches for core keyword cluster</t>
  </si>
  <si>
    <t xml:space="preserve">Search volume validated</t>
  </si>
  <si>
    <t xml:space="preserve">5,000+ monthly searches</t>
  </si>
  <si>
    <t xml:space="preserve">"running belt" = 40K+/mo. "women's running belt" = 3K+. "eco running belt" = low. Adjust niche accordingly.</t>
  </si>
  <si>
    <t xml:space="preserve">Search validation</t>
  </si>
  <si>
    <t xml:space="preserve">0F.03</t>
  </si>
  <si>
    <t xml:space="preserve">Identify 5 potential brand names and check domain availability, trademark conflicts (USPTO TESS), and social handle availability</t>
  </si>
  <si>
    <t xml:space="preserve">Name candidates vetted</t>
  </si>
  <si>
    <t xml:space="preserve">5 names checked</t>
  </si>
  <si>
    <t xml:space="preserve">Check: .com domain, @handle on IG/TikTok/X, USPTO TESS search, Amazon brand search.</t>
  </si>
  <si>
    <t xml:space="preserve">Name availability matrix</t>
  </si>
  <si>
    <t xml:space="preserve">0F.04</t>
  </si>
  <si>
    <t xml:space="preserve">Create a simple landing page (Carrd.co, $19/yr) with product concept + email signup to test interest pre-launch</t>
  </si>
  <si>
    <t xml:space="preserve">Wk 5–6</t>
  </si>
  <si>
    <t xml:space="preserve">Landing page live</t>
  </si>
  <si>
    <t xml:space="preserve">Page live with email capture</t>
  </si>
  <si>
    <t xml:space="preserve">Drive traffic via Reddit posts, running forum posts, social media. Goal: 100+ signups in 2 weeks.</t>
  </si>
  <si>
    <t xml:space="preserve">Landing page URL</t>
  </si>
  <si>
    <t xml:space="preserve">0F.05</t>
  </si>
  <si>
    <t xml:space="preserve">Analyze landing page signup rate and early feedback to validate or pivot concept before production</t>
  </si>
  <si>
    <t xml:space="preserve">Wk 6</t>
  </si>
  <si>
    <t xml:space="preserve">Validation decision made</t>
  </si>
  <si>
    <t xml:space="preserve">Go / No-Go / Pivot decided</t>
  </si>
  <si>
    <t xml:space="preserve">&gt;5% signup rate = strong signal. 2–5% = decent. &lt;2% = rethink positioning or product.</t>
  </si>
  <si>
    <t xml:space="preserve">Go/No-Go decision</t>
  </si>
  <si>
    <t xml:space="preserve">0G: Competitive Intelligence Deep Dives (Wk 2–4) — 5 tasks</t>
  </si>
  <si>
    <t xml:space="preserve">0G.01</t>
  </si>
  <si>
    <t xml:space="preserve">0G</t>
  </si>
  <si>
    <t xml:space="preserve">Reverse-engineer Naked Running Band's success: 12-size system, Exopower mesh, athlete roster, no-Amazon strategy</t>
  </si>
  <si>
    <t xml:space="preserve">Naked case study complete</t>
  </si>
  <si>
    <t xml:space="preserve">Full strategy documented</t>
  </si>
  <si>
    <t xml:space="preserve">Key insight: Naked proves premium ($55+) works with elite athlete validation + specialty retail.</t>
  </si>
  <si>
    <t xml:space="preserve">Naked case study</t>
  </si>
  <si>
    <t xml:space="preserve">0G.02</t>
  </si>
  <si>
    <t xml:space="preserve">Reverse-engineer FlipBelt's Amazon dominance: listing optimization, review strategy, pricing, PPC approach</t>
  </si>
  <si>
    <t xml:space="preserve">FlipBelt case study complete</t>
  </si>
  <si>
    <t xml:space="preserve">Amazon strategy documented</t>
  </si>
  <si>
    <t xml:space="preserve">18K+ reviews, 4.6 stars. Study: title, bullets, images, A+ content, pricing vs MAP, review velocity.</t>
  </si>
  <si>
    <t xml:space="preserve">FlipBelt case study</t>
  </si>
  <si>
    <t xml:space="preserve">0G.03</t>
  </si>
  <si>
    <t xml:space="preserve">Reverse-engineer SPIbelt's bootstrap journey: $150K→$7M in 3 years, marathon expo strategy, medical niche expansion</t>
  </si>
  <si>
    <t xml:space="preserve">SPIbelt case study complete</t>
  </si>
  <si>
    <t xml:space="preserve">Growth playbook documented</t>
  </si>
  <si>
    <t xml:space="preserve">Key lesson: started at Austin Marathon expo. Medical belt niche = unique moat. Woman-founded story resonates.</t>
  </si>
  <si>
    <t xml:space="preserve">SPIbelt case study</t>
  </si>
  <si>
    <t xml:space="preserve">0G.04</t>
  </si>
  <si>
    <t xml:space="preserve">Study Gymshark and Tracksmith D2C playbooks: influencer seeding, community building, content strategy at bootstrap stage</t>
  </si>
  <si>
    <t xml:space="preserve">D2C case studies complete</t>
  </si>
  <si>
    <t xml:space="preserve">2 case studies documented</t>
  </si>
  <si>
    <t xml:space="preserve">Gymshark: micro-influencer seeding from garage. Tracksmith: 280% growth via community + content + premium positioning.</t>
  </si>
  <si>
    <t xml:space="preserve">D2C playbook doc</t>
  </si>
  <si>
    <t xml:space="preserve">0G.05</t>
  </si>
  <si>
    <t xml:space="preserve">Audit top 10 Amazon "running belt" listings: price, reviews, images, bullet points, search rank, estimated monthly sales</t>
  </si>
  <si>
    <t xml:space="preserve">Amazon audit complete</t>
  </si>
  <si>
    <t xml:space="preserve">10 listings audited</t>
  </si>
  <si>
    <t xml:space="preserve">Generic brands like MAXTOP sell 31K+ units/mo at &lt;$20. Note: volume ≠ brand. Study review complaints for opportunity.</t>
  </si>
  <si>
    <t xml:space="preserve">Amazon audit</t>
  </si>
  <si>
    <t xml:space="preserve">P1: BRAND DEVELOPMENT &amp; IDENTITY  |  Weeks 4–8  |  5 Subprojects  |  28 Tasks</t>
  </si>
  <si>
    <t xml:space="preserve">1A: Brand Naming &amp; Trademark (Wk 4–6) — 6 tasks</t>
  </si>
  <si>
    <t xml:space="preserve">1A.01</t>
  </si>
  <si>
    <t xml:space="preserve">1A</t>
  </si>
  <si>
    <t xml:space="preserve">Brainstorm 25+ brand name candidates: consider run, stride, carry, light, free, naked-inspired, eco, trail themes</t>
  </si>
  <si>
    <t xml:space="preserve">Name candidates generated</t>
  </si>
  <si>
    <t xml:space="preserve">25+ options</t>
  </si>
  <si>
    <t xml:space="preserve">Test: memorable, easy to spell, available .com, works internationally, not too close to competitors.</t>
  </si>
  <si>
    <t xml:space="preserve">Name brainstorm list</t>
  </si>
  <si>
    <t xml:space="preserve">1A.02</t>
  </si>
  <si>
    <t xml:space="preserve">Shortlist to top 5 names and test with 15+ runners for memorability, pronunciation, brand associations</t>
  </si>
  <si>
    <t xml:space="preserve">Names tested</t>
  </si>
  <si>
    <t xml:space="preserve">15+ people surveyed</t>
  </si>
  <si>
    <t xml:space="preserve">Ask: "What product do you think this brand sells?" and "Would you trust this brand?"</t>
  </si>
  <si>
    <t xml:space="preserve">Name test results</t>
  </si>
  <si>
    <t xml:space="preserve">1A.03</t>
  </si>
  <si>
    <t xml:space="preserve">Verify top 3 names: .com domain available, IG/TikTok handles free, no USPTO trademark conflicts (Class 028 sporting goods)</t>
  </si>
  <si>
    <t xml:space="preserve">All checks passed</t>
  </si>
  <si>
    <t xml:space="preserve">Top 3 fully verified</t>
  </si>
  <si>
    <t xml:space="preserve">USPTO TESS: free search. Domain: Namecheap/GoDaddy. Social: direct search on each platform.</t>
  </si>
  <si>
    <t xml:space="preserve">Verification matrix</t>
  </si>
  <si>
    <t xml:space="preserve">1A.04</t>
  </si>
  <si>
    <t xml:space="preserve">Select final brand name and register domain (.com mandatory, consider .co and country-specific)</t>
  </si>
  <si>
    <t xml:space="preserve">Domain registered</t>
  </si>
  <si>
    <t xml:space="preserve">.com secured</t>
  </si>
  <si>
    <t xml:space="preserve">Budget: $10–15/year for .com. Also register social handles immediately on IG, TikTok, X, Facebook.</t>
  </si>
  <si>
    <t xml:space="preserve">Domain registration</t>
  </si>
  <si>
    <t xml:space="preserve">1A.05</t>
  </si>
  <si>
    <t xml:space="preserve">File USPTO trademark application (Class 028) — can self-file for $250–350 via TEAS Plus</t>
  </si>
  <si>
    <t xml:space="preserve">TM application filed</t>
  </si>
  <si>
    <t xml:space="preserve">Filing confirmation received</t>
  </si>
  <si>
    <t xml:space="preserve">TEAS Plus = $250/class. Use ™ symbol immediately; ® only after registration (~8–12 months).</t>
  </si>
  <si>
    <t xml:space="preserve">TM filing confirmation</t>
  </si>
  <si>
    <t xml:space="preserve">1A.06</t>
  </si>
  <si>
    <t xml:space="preserve">Register matching social media handles on Instagram, TikTok, X/Twitter, Facebook, YouTube, Pinterest</t>
  </si>
  <si>
    <t xml:space="preserve">All handles secured</t>
  </si>
  <si>
    <t xml:space="preserve">6+ platforms registered</t>
  </si>
  <si>
    <t xml:space="preserve">Even if you won't use all platforms immediately — reserve the handles before someone else does.</t>
  </si>
  <si>
    <t xml:space="preserve">Handle registration list</t>
  </si>
  <si>
    <t xml:space="preserve">1B: Visual Identity &amp; Logo (Wk 5–7) — 6 tasks</t>
  </si>
  <si>
    <t xml:space="preserve">1B.01</t>
  </si>
  <si>
    <t xml:space="preserve">1B</t>
  </si>
  <si>
    <t xml:space="preserve">Create mood board: collect 20+ visual references from brands you admire (running + non-running)</t>
  </si>
  <si>
    <t xml:space="preserve">Mood board complete</t>
  </si>
  <si>
    <t xml:space="preserve">20+ references collected</t>
  </si>
  <si>
    <t xml:space="preserve">Pinterest board or Canva. Study: Tracksmith (heritage), Janji (adventure), Satisfy (counter-culture), On (minimal).</t>
  </si>
  <si>
    <t xml:space="preserve">Mood board</t>
  </si>
  <si>
    <t xml:space="preserve">1B.02</t>
  </si>
  <si>
    <t xml:space="preserve">Define brand color palette: primary color, secondary, accent, neutral. Max 4 colors + black/white</t>
  </si>
  <si>
    <t xml:space="preserve">Colors selected</t>
  </si>
  <si>
    <t xml:space="preserve">4-color palette defined</t>
  </si>
  <si>
    <t xml:space="preserve">Use Coolors.co (free). Avoid: competitor colors (FlipBelt=orange, SPIbelt=red/teal, Naked=dark blue).</t>
  </si>
  <si>
    <t xml:space="preserve">Color palette</t>
  </si>
  <si>
    <t xml:space="preserve">1B.03</t>
  </si>
  <si>
    <t xml:space="preserve">Design logo via Canva Pro ($13/mo), 99designs ($299 contest), or Fiverr ($50–200)</t>
  </si>
  <si>
    <t xml:space="preserve">Logo designed</t>
  </si>
  <si>
    <t xml:space="preserve">Final logo approved</t>
  </si>
  <si>
    <t xml:space="preserve">Need: primary logo, icon mark, wordmark, all-white version. Must work at 16px (favicon) and on dark/light.</t>
  </si>
  <si>
    <t xml:space="preserve">Logo files (SVG, PNG)</t>
  </si>
  <si>
    <t xml:space="preserve">1B.04</t>
  </si>
  <si>
    <t xml:space="preserve">Select brand typography: 1 heading font + 1 body font (Google Fonts = free for web and print)</t>
  </si>
  <si>
    <t xml:space="preserve">Typography selected</t>
  </si>
  <si>
    <t xml:space="preserve">2 fonts chosen</t>
  </si>
  <si>
    <t xml:space="preserve">Sans-serif is safest for athletic brands. Popular: Inter, Montserrat, DM Sans, Plus Jakarta Sans.</t>
  </si>
  <si>
    <t xml:space="preserve">Typography guide</t>
  </si>
  <si>
    <t xml:space="preserve">1B.05</t>
  </si>
  <si>
    <t xml:space="preserve">Create simple brand guidelines document: logo usage, colors with hex codes, typography, tone of voice, imagery style</t>
  </si>
  <si>
    <t xml:space="preserve">Wk 6–7</t>
  </si>
  <si>
    <t xml:space="preserve">Brand guide created</t>
  </si>
  <si>
    <t xml:space="preserve">1 document covering all elements</t>
  </si>
  <si>
    <t xml:space="preserve">Keep it to 3–5 pages. This ensures consistency across all touchpoints as you scale.</t>
  </si>
  <si>
    <t xml:space="preserve">Brand guidelines PDF</t>
  </si>
  <si>
    <t xml:space="preserve">1B.06</t>
  </si>
  <si>
    <t xml:space="preserve">Design product packaging: branded poly mailer, hang tag, size/care label, insert card with QR code for reviews</t>
  </si>
  <si>
    <t xml:space="preserve">Wk 7</t>
  </si>
  <si>
    <t xml:space="preserve">Packaging designed</t>
  </si>
  <si>
    <t xml:space="preserve">All packaging elements designed</t>
  </si>
  <si>
    <t xml:space="preserve">Budget: Custom poly mailers ($0.15–0.30/ea at 500+), hang tags ($0.05–0.10), insert cards ($0.03–0.05).</t>
  </si>
  <si>
    <t xml:space="preserve">Packaging design files</t>
  </si>
  <si>
    <t xml:space="preserve">1C: Brand Story &amp; Messaging (Wk 5–7) — 6 tasks</t>
  </si>
  <si>
    <t xml:space="preserve">1C.01</t>
  </si>
  <si>
    <t xml:space="preserve">1C</t>
  </si>
  <si>
    <t xml:space="preserve">Write founder story: why you created this brand, what problem you're solving, your personal running journey</t>
  </si>
  <si>
    <t xml:space="preserve">Founder story written</t>
  </si>
  <si>
    <t xml:space="preserve">300–500 word story</t>
  </si>
  <si>
    <t xml:space="preserve">Every successful brand in this space (SPIbelt, FlipBelt, Naked) was founded by a runner solving their own problem.</t>
  </si>
  <si>
    <t xml:space="preserve">Founder story</t>
  </si>
  <si>
    <t xml:space="preserve">1C.02</t>
  </si>
  <si>
    <t xml:space="preserve">Craft brand tagline (3–6 words): test 5+ options with runners</t>
  </si>
  <si>
    <t xml:space="preserve">Tagline selected</t>
  </si>
  <si>
    <t xml:space="preserve">Final tagline chosen</t>
  </si>
  <si>
    <t xml:space="preserve">Competitors: Naked="Run. Free." SPIbelt="The Original Running Belt." FlipBelt="Never Slow Down."</t>
  </si>
  <si>
    <t xml:space="preserve">Tagline</t>
  </si>
  <si>
    <t xml:space="preserve">1C.03</t>
  </si>
  <si>
    <t xml:space="preserve">Write positioning statement: For [target], [brand] is the [category] that [benefit] because [reason to believe]</t>
  </si>
  <si>
    <t xml:space="preserve">Positioning statement finalized</t>
  </si>
  <si>
    <t xml:space="preserve">1 clear statement</t>
  </si>
  <si>
    <t xml:space="preserve">This drives ALL marketing decisions. Post it above your desk.</t>
  </si>
  <si>
    <t xml:space="preserve">Positioning statement</t>
  </si>
  <si>
    <t xml:space="preserve">1C.04</t>
  </si>
  <si>
    <t xml:space="preserve">Write product description copy: 3 versions (short 50 words, medium 150 words, long 400 words) for different channels</t>
  </si>
  <si>
    <t xml:space="preserve">Product copy written</t>
  </si>
  <si>
    <t xml:space="preserve">3 lengths of copy</t>
  </si>
  <si>
    <t xml:space="preserve">Focus on benefits (not features). "Runs so light you forget it's there" &gt; "Made from 4-way stretch mesh."</t>
  </si>
  <si>
    <t xml:space="preserve">Product copy doc</t>
  </si>
  <si>
    <t xml:space="preserve">1C.05</t>
  </si>
  <si>
    <t xml:space="preserve">Define brand voice guidelines: tone (confident/friendly/expert), vocabulary, do's and don'ts</t>
  </si>
  <si>
    <t xml:space="preserve">Voice guidelines documented</t>
  </si>
  <si>
    <t xml:space="preserve">Guidelines complete</t>
  </si>
  <si>
    <t xml:space="preserve">Running brands that succeed: authentic, knowledgeable, community-first, not salesy. Think friend who knows gear.</t>
  </si>
  <si>
    <t xml:space="preserve">Voice guidelines</t>
  </si>
  <si>
    <t xml:space="preserve">1C.06</t>
  </si>
  <si>
    <t xml:space="preserve">Write "About Us" page copy, FAQ content (15+ questions), and email welcome series copy (3 emails)</t>
  </si>
  <si>
    <t xml:space="preserve">Website copy written</t>
  </si>
  <si>
    <t xml:space="preserve">All copy complete</t>
  </si>
  <si>
    <t xml:space="preserve">FAQ must cover: sizing, returns, materials, care instructions, shipping, vs competitors.</t>
  </si>
  <si>
    <t xml:space="preserve">Website copy doc</t>
  </si>
  <si>
    <t xml:space="preserve">1D: Brand Photography &amp; Visual Assets (Wk 6–8) — 5 tasks</t>
  </si>
  <si>
    <t xml:space="preserve">1D.01</t>
  </si>
  <si>
    <t xml:space="preserve">1D</t>
  </si>
  <si>
    <t xml:space="preserve">Plan product photography shoot: 10+ flat-lay shots, 5+ on-model running shots, 3+ lifestyle/context shots</t>
  </si>
  <si>
    <t xml:space="preserve">Shot list planned</t>
  </si>
  <si>
    <t xml:space="preserve">18+ shots planned</t>
  </si>
  <si>
    <t xml:space="preserve">DIY setup: iPhone 12+, natural window light, white foam board ($5), clean background. Total cost: &lt;$20.</t>
  </si>
  <si>
    <t xml:space="preserve">Photography shot list</t>
  </si>
  <si>
    <t xml:space="preserve">1D.02</t>
  </si>
  <si>
    <t xml:space="preserve">Shoot all product photos: white background product shots (front, back, detail, capacity demo, phone-in-pocket)</t>
  </si>
  <si>
    <t xml:space="preserve">Product photos shot</t>
  </si>
  <si>
    <t xml:space="preserve">10+ product shots</t>
  </si>
  <si>
    <t xml:space="preserve">Must show: the belt worn, items fitting inside, phone visibility, size on different body types.</t>
  </si>
  <si>
    <t xml:space="preserve">Product photo set</t>
  </si>
  <si>
    <t xml:space="preserve">1D.03</t>
  </si>
  <si>
    <t xml:space="preserve">Shoot lifestyle/running photos: action shots of runner wearing belt outdoors in 3+ settings (road, trail, urban)</t>
  </si>
  <si>
    <t xml:space="preserve">Lifestyle photos shot</t>
  </si>
  <si>
    <t xml:space="preserve">5+ action shots</t>
  </si>
  <si>
    <t xml:space="preserve">Ask a running friend to model. Early morning or golden hour light. Show the product in real use context.</t>
  </si>
  <si>
    <t xml:space="preserve">Lifestyle photo set</t>
  </si>
  <si>
    <t xml:space="preserve">1D.04</t>
  </si>
  <si>
    <t xml:space="preserve">Edit all photos: color correction, background removal for product shots, crop for web and social formats</t>
  </si>
  <si>
    <t xml:space="preserve">Wk 7–8</t>
  </si>
  <si>
    <t xml:space="preserve">Photos edited</t>
  </si>
  <si>
    <t xml:space="preserve">All photos export-ready</t>
  </si>
  <si>
    <t xml:space="preserve">Use Canva (free) or remove.bg for background removal. Export: 2000x2000 for Shopify, 1080x1080 for IG.</t>
  </si>
  <si>
    <t xml:space="preserve">Edited photo library</t>
  </si>
  <si>
    <t xml:space="preserve">1D.05</t>
  </si>
  <si>
    <t xml:space="preserve">Create 3 short product demo videos (15–30 sec each): capacity test, bounce test, "what fits inside" unboxing</t>
  </si>
  <si>
    <t xml:space="preserve">Demo videos created</t>
  </si>
  <si>
    <t xml:space="preserve">3 videos ready</t>
  </si>
  <si>
    <t xml:space="preserve">Shoot on iPhone, vertical format (9:16) for TikTok/Reels. These are your #1 conversion asset.</t>
  </si>
  <si>
    <t xml:space="preserve">Video assets</t>
  </si>
  <si>
    <t xml:space="preserve">1E: Pre-Launch Community Building (Wk 5–8) — 5 tasks</t>
  </si>
  <si>
    <t xml:space="preserve">1E.01</t>
  </si>
  <si>
    <t xml:space="preserve">1E</t>
  </si>
  <si>
    <t xml:space="preserve">Set up Instagram and TikTok accounts with brand identity, bio, link-in-bio to landing page/waitlist</t>
  </si>
  <si>
    <t xml:space="preserve">Accounts live</t>
  </si>
  <si>
    <t xml:space="preserve">Both platforms active</t>
  </si>
  <si>
    <t xml:space="preserve">Bio formula: [What you are] | [For whom] | [USP] | [CTA link]. Use Linktree or Beacons for link-in-bio.</t>
  </si>
  <si>
    <t xml:space="preserve">Social accounts</t>
  </si>
  <si>
    <t xml:space="preserve">1E.02</t>
  </si>
  <si>
    <t xml:space="preserve">Create content calendar: 3–4 posts/week for weeks 5–8 covering behind-the-scenes, product development, running tips</t>
  </si>
  <si>
    <t xml:space="preserve">Content calendar created</t>
  </si>
  <si>
    <t xml:space="preserve">4 weeks planned</t>
  </si>
  <si>
    <t xml:space="preserve">Content pillars: 1) Behind-the-scenes journey, 2) Running tips/education, 3) Product teasers, 4) Community reposts.</t>
  </si>
  <si>
    <t xml:space="preserve">Content calendar</t>
  </si>
  <si>
    <t xml:space="preserve">1E.03</t>
  </si>
  <si>
    <t xml:space="preserve">Post daily on TikTok for 30 days: running belt comparisons, "day in the life" building a brand, running content</t>
  </si>
  <si>
    <t xml:space="preserve">Wk 5–8</t>
  </si>
  <si>
    <t xml:space="preserve">Posting streak maintained</t>
  </si>
  <si>
    <t xml:space="preserve">30 posts in 30 days</t>
  </si>
  <si>
    <t xml:space="preserve">TikTok rewards consistency. Even 200 views/video builds algorithm trust. Aim for 1 viral hit.</t>
  </si>
  <si>
    <t xml:space="preserve">Content archive</t>
  </si>
  <si>
    <t xml:space="preserve">1E.04</t>
  </si>
  <si>
    <t xml:space="preserve">Engage authentically in 5+ running subreddits and Facebook groups (contribute value, don't just promote)</t>
  </si>
  <si>
    <t xml:space="preserve">Community engagement active</t>
  </si>
  <si>
    <t xml:space="preserve">20+ valuable contributions</t>
  </si>
  <si>
    <t xml:space="preserve">Rule: 10 helpful comments for every 1 mention of your brand. Build reputation first.</t>
  </si>
  <si>
    <t xml:space="preserve">Engagement log</t>
  </si>
  <si>
    <t xml:space="preserve">1E.05</t>
  </si>
  <si>
    <t xml:space="preserve">Grow pre-launch email waitlist to 200+ subscribers via landing page, social, and community engagement</t>
  </si>
  <si>
    <t xml:space="preserve">Waitlist growing</t>
  </si>
  <si>
    <t xml:space="preserve">200+ subscribers</t>
  </si>
  <si>
    <t xml:space="preserve">Incentive: "Be first to know + founding member pricing." Each email subscriber is worth $5–15 in future revenue.</t>
  </si>
  <si>
    <t xml:space="preserve">Waitlist count</t>
  </si>
  <si>
    <t xml:space="preserve">P2: PRODUCT DESIGN &amp; ENGINEERING  |  Weeks 4–10  |  5 Subprojects  |  27 Tasks</t>
  </si>
  <si>
    <t xml:space="preserve">2A: Product Architecture &amp; Specifications (Wk 4–6) — 6 tasks</t>
  </si>
  <si>
    <t xml:space="preserve">2A.01</t>
  </si>
  <si>
    <t xml:space="preserve">2A</t>
  </si>
  <si>
    <t xml:space="preserve">Define product architecture: tube-style (FlipBelt) vs. belt-with-pockets (SPIbelt) vs. band-style (Naked) vs. hybrid</t>
  </si>
  <si>
    <t xml:space="preserve">Architecture decided</t>
  </si>
  <si>
    <t xml:space="preserve">Decision documented with rationale</t>
  </si>
  <si>
    <t xml:space="preserve">Each has tradeoffs: tube=seamless but sizing issues, belt=adjustable but bounces, band=minimal but capacity limits.</t>
  </si>
  <si>
    <t xml:space="preserve">Architecture decision</t>
  </si>
  <si>
    <t xml:space="preserve">2A.02</t>
  </si>
  <si>
    <t xml:space="preserve">Define sizing system: S/M/L/XL (simple, higher risk of poor fit) vs. measured waist sizes vs. adjustable (best for launch)</t>
  </si>
  <si>
    <t xml:space="preserve">Sizing system chosen</t>
  </si>
  <si>
    <t xml:space="preserve">System defined</t>
  </si>
  <si>
    <t xml:space="preserve">Recommendation for launch: adjustable belt (like SPIbelt) = fewer SKUs, fewer returns, simpler inventory.</t>
  </si>
  <si>
    <t xml:space="preserve">Sizing decision</t>
  </si>
  <si>
    <t xml:space="preserve">2A.03</t>
  </si>
  <si>
    <t xml:space="preserve">Create detailed technical spec sheet for supplier: dimensions, materials, thread type, closure hardware, pocket count, reflective placement</t>
  </si>
  <si>
    <t xml:space="preserve">Tech spec complete</t>
  </si>
  <si>
    <t xml:space="preserve">Full spec with drawings</t>
  </si>
  <si>
    <t xml:space="preserve">Include: 4-way stretch fabric, YKK zippers (#3 minimum), 3M reflective strips, adjustable buckle, phone window option.</t>
  </si>
  <si>
    <t xml:space="preserve">Tech spec v1</t>
  </si>
  <si>
    <t xml:space="preserve">2A.04</t>
  </si>
  <si>
    <t xml:space="preserve">Specify material requirements: main body fabric (nylon/spandex blend), lining (moisture-wicking mesh), elastic (LYCRA grade)</t>
  </si>
  <si>
    <t xml:space="preserve">Materials specified</t>
  </si>
  <si>
    <t xml:space="preserve">All materials defined with GSM/composition</t>
  </si>
  <si>
    <t xml:space="preserve">Key: 4-way stretch nylon-spandex (80/20 blend, 200–280 GSM). Mesh lining for breathability. Anti-chafe binding.</t>
  </si>
  <si>
    <t xml:space="preserve">Material spec</t>
  </si>
  <si>
    <t xml:space="preserve">2A.05</t>
  </si>
  <si>
    <t xml:space="preserve">Design pocket layout: main phone pocket (must fit 6.7" phones with case), secondary zip pocket, gel/key loops</t>
  </si>
  <si>
    <t xml:space="preserve">Pocket layout finalized</t>
  </si>
  <si>
    <t xml:space="preserve">Layout accommodates all essentials</t>
  </si>
  <si>
    <t xml:space="preserve">Test with: iPhone 16 Pro Max (6.7"), Samsung S24 Ultra (6.8"), plus case. #1 running belt complaint = phone doesn't fit.</t>
  </si>
  <si>
    <t xml:space="preserve">Pocket layout drawing</t>
  </si>
  <si>
    <t xml:space="preserve">2A.06</t>
  </si>
  <si>
    <t xml:space="preserve">Define color/pattern options for launch: start with 3–4 colors max (black mandatory, 1 bright, 1 neutral, 1 pattern)</t>
  </si>
  <si>
    <t xml:space="preserve">3–4 launch colors</t>
  </si>
  <si>
    <t xml:space="preserve">Black is always #1 seller (50%+ of sales). Add 1 bold color for social media pop. Fewer colors = simpler inventory.</t>
  </si>
  <si>
    <t xml:space="preserve">Color selection</t>
  </si>
  <si>
    <t xml:space="preserve">2B: Prototyping &amp; Sample Development (Wk 5–8) — 6 tasks</t>
  </si>
  <si>
    <t xml:space="preserve">2B.01</t>
  </si>
  <si>
    <t xml:space="preserve">2B</t>
  </si>
  <si>
    <t xml:space="preserve">Send finalized tech spec to top 3 Alibaba suppliers for custom sample production</t>
  </si>
  <si>
    <t xml:space="preserve">Spec sent to suppliers</t>
  </si>
  <si>
    <t xml:space="preserve">3 suppliers engaged</t>
  </si>
  <si>
    <t xml:space="preserve">Include: tech drawings, material specs, color references (Pantone if possible), size range needed.</t>
  </si>
  <si>
    <t xml:space="preserve">Supplier communications</t>
  </si>
  <si>
    <t xml:space="preserve">2B.02</t>
  </si>
  <si>
    <t xml:space="preserve">Review and approve pre-production samples from each supplier (typical lead time: 7–14 days)</t>
  </si>
  <si>
    <t xml:space="preserve">Samples received</t>
  </si>
  <si>
    <t xml:space="preserve">3+ custom samples in hand</t>
  </si>
  <si>
    <t xml:space="preserve">Budget: $15–40 per custom sample + $25–50 shipping per supplier. Total: ~$150–250.</t>
  </si>
  <si>
    <t xml:space="preserve">Sample photos + notes</t>
  </si>
  <si>
    <t xml:space="preserve">2B.03</t>
  </si>
  <si>
    <t xml:space="preserve">Conduct rigorous testing on each sample: 10+ mile run test, wash/dry 5x, measure stretch recovery, zipper stress test</t>
  </si>
  <si>
    <t xml:space="preserve">Testing protocol complete</t>
  </si>
  <si>
    <t xml:space="preserve">All samples tested against spec</t>
  </si>
  <si>
    <t xml:space="preserve">Create scoring rubric: comfort (1-10), bounce (1-10), capacity (1-10), durability (1-10), aesthetics (1-10).</t>
  </si>
  <si>
    <t xml:space="preserve">Test scorecards</t>
  </si>
  <si>
    <t xml:space="preserve">2B.04</t>
  </si>
  <si>
    <t xml:space="preserve">Give samples to 5 runners of different body types/sizes for 1-week field test with structured feedback form</t>
  </si>
  <si>
    <t xml:space="preserve">Field testing complete</t>
  </si>
  <si>
    <t xml:space="preserve">5 testers, 5+ runs each</t>
  </si>
  <si>
    <t xml:space="preserve">Feedback form: fit rating, bounce rating, comfort rating, what they stored, any issues, would they buy at $X?</t>
  </si>
  <si>
    <t xml:space="preserve">Field test feedback</t>
  </si>
  <si>
    <t xml:space="preserve">2B.05</t>
  </si>
  <si>
    <t xml:space="preserve">Document all needed modifications and send revision spec to selected supplier for v2 sample</t>
  </si>
  <si>
    <t xml:space="preserve">Wk 8</t>
  </si>
  <si>
    <t xml:space="preserve">Revision spec sent</t>
  </si>
  <si>
    <t xml:space="preserve">All changes documented</t>
  </si>
  <si>
    <t xml:space="preserve">Common revisions: pocket sizing, elastic tension, zipper placement, waistband width, reflective strip position.</t>
  </si>
  <si>
    <t xml:space="preserve">Revision spec</t>
  </si>
  <si>
    <t xml:space="preserve">2B.06</t>
  </si>
  <si>
    <t xml:space="preserve">Approve final production sample (PP sample) — this is the exact spec that will be manufactured</t>
  </si>
  <si>
    <t xml:space="preserve">Wk 8–9</t>
  </si>
  <si>
    <t xml:space="preserve">PP sample approved</t>
  </si>
  <si>
    <t xml:space="preserve">Written approval sent to factory</t>
  </si>
  <si>
    <t xml:space="preserve">DO NOT PROCEED to production without approving PP sample. Keep this sample as your quality reference.</t>
  </si>
  <si>
    <t xml:space="preserve">PP sample approval</t>
  </si>
  <si>
    <t xml:space="preserve">2C: Packaging &amp; Unboxing Design (Wk 7–9) — 5 tasks</t>
  </si>
  <si>
    <t xml:space="preserve">2C.01</t>
  </si>
  <si>
    <t xml:space="preserve">2C</t>
  </si>
  <si>
    <t xml:space="preserve">Design branded poly mailer or recyclable kraft mailer with logo print</t>
  </si>
  <si>
    <t xml:space="preserve">Mailer designed</t>
  </si>
  <si>
    <t xml:space="preserve">Design file ready for print</t>
  </si>
  <si>
    <t xml:space="preserve">Recyclable packaging = brand differentiator if going eco route. Custom poly mailers: $0.15–0.30 at 500+.</t>
  </si>
  <si>
    <t xml:space="preserve">Mailer design file</t>
  </si>
  <si>
    <t xml:space="preserve">2C.02</t>
  </si>
  <si>
    <t xml:space="preserve">Design product hang tag with brand story, care instructions, and premium feel</t>
  </si>
  <si>
    <t xml:space="preserve">Hang tag designed</t>
  </si>
  <si>
    <t xml:space="preserve">Print-ready file</t>
  </si>
  <si>
    <t xml:space="preserve">Include: brand tagline, 1 sentence story, care icons, website URL, social handles. Kraft paper = eco feel.</t>
  </si>
  <si>
    <t xml:space="preserve">Hang tag file</t>
  </si>
  <si>
    <t xml:space="preserve">2C.03</t>
  </si>
  <si>
    <t xml:space="preserve">Design insert card: thank you message + QR code to review page + 10% off next purchase code + social handles</t>
  </si>
  <si>
    <t xml:space="preserve">Insert card designed</t>
  </si>
  <si>
    <t xml:space="preserve">This is your #1 tool for getting reviews. Make the CTA crystal clear. Budget: $0.03–0.05/card at 500+.</t>
  </si>
  <si>
    <t xml:space="preserve">Insert card file</t>
  </si>
  <si>
    <t xml:space="preserve">2C.04</t>
  </si>
  <si>
    <t xml:space="preserve">Source packaging suppliers: Alibaba (bulk), Sticker Mule (small qty), Packlane, or supplier-provided packaging</t>
  </si>
  <si>
    <t xml:space="preserve">Packaging supplier selected</t>
  </si>
  <si>
    <t xml:space="preserve">Quotes received from 3+ suppliers</t>
  </si>
  <si>
    <t xml:space="preserve">Option: have your belt supplier include packaging in production (often cheaper). Ask for packaging samples.</t>
  </si>
  <si>
    <t xml:space="preserve">Packaging quotes</t>
  </si>
  <si>
    <t xml:space="preserve">2C.05</t>
  </si>
  <si>
    <t xml:space="preserve">Order packaging: 300+ poly mailers, 300+ hang tags, 500+ insert cards (order extra inserts for events)</t>
  </si>
  <si>
    <t xml:space="preserve">Packaging ordered</t>
  </si>
  <si>
    <t xml:space="preserve">Order confirmed</t>
  </si>
  <si>
    <t xml:space="preserve">Total packaging budget: $100–200 for 300 units. Include in per-unit COGS calculation.</t>
  </si>
  <si>
    <t xml:space="preserve">Packaging PO</t>
  </si>
  <si>
    <t xml:space="preserve">2D: Size Guide &amp; Product Documentation (Wk 8–9) — 5 tasks</t>
  </si>
  <si>
    <t xml:space="preserve">2D.01</t>
  </si>
  <si>
    <t xml:space="preserve">2D</t>
  </si>
  <si>
    <t xml:space="preserve">Create detailed size guide with waist measurements, fit photos on 3+ body types, and "how to measure" instructions</t>
  </si>
  <si>
    <t xml:space="preserve">Size guide created</t>
  </si>
  <si>
    <t xml:space="preserve">Guide with photos</t>
  </si>
  <si>
    <t xml:space="preserve">Size-related returns are the #1 cost killer for running belt brands. A great size guide saves thousands.</t>
  </si>
  <si>
    <t xml:space="preserve">Size guide</t>
  </si>
  <si>
    <t xml:space="preserve">2D.02</t>
  </si>
  <si>
    <t xml:space="preserve">Write care instructions: washing, drying, storage, zipper maintenance</t>
  </si>
  <si>
    <t xml:space="preserve">Care instructions written</t>
  </si>
  <si>
    <t xml:space="preserve">Instructions complete</t>
  </si>
  <si>
    <t xml:space="preserve">Machine wash cold, air dry, no fabric softener, close zippers before washing. Simple icons + text.</t>
  </si>
  <si>
    <t xml:space="preserve">Care card copy</t>
  </si>
  <si>
    <t xml:space="preserve">2D.03</t>
  </si>
  <si>
    <t xml:space="preserve">Create "What Fits Inside" content: photograph belt holding phone, gels, keys, card, cash, earbuds</t>
  </si>
  <si>
    <t xml:space="preserve">Capacity content created</t>
  </si>
  <si>
    <t xml:space="preserve">Photo + video showing capacity</t>
  </si>
  <si>
    <t xml:space="preserve">This content sells product. Show: iPhone Pro Max, 4 gels, car key, credit card, $20 bill, AirPods case.</t>
  </si>
  <si>
    <t xml:space="preserve">Capacity photos/video</t>
  </si>
  <si>
    <t xml:space="preserve">2D.04</t>
  </si>
  <si>
    <t xml:space="preserve">Create product comparison table: your belt vs FlipBelt vs SPIbelt vs Naked on 10+ attributes</t>
  </si>
  <si>
    <t xml:space="preserve">Wk 9</t>
  </si>
  <si>
    <t xml:space="preserve">Comparison table created</t>
  </si>
  <si>
    <t xml:space="preserve">Fair comparison of 4+ belts</t>
  </si>
  <si>
    <t xml:space="preserve">Attributes: price, weight, capacity, adjustable?, phone fits?, # pockets, material, bounce rating, eco-friendly?</t>
  </si>
  <si>
    <t xml:space="preserve">Comparison table</t>
  </si>
  <si>
    <t xml:space="preserve">2D.05</t>
  </si>
  <si>
    <t xml:space="preserve">Write product page copy: headline, subheadline, 5 bullet features, long description, social proof section</t>
  </si>
  <si>
    <t xml:space="preserve">Product page copy finalized</t>
  </si>
  <si>
    <t xml:space="preserve">All copy written</t>
  </si>
  <si>
    <t xml:space="preserve">Study Naked Running Band and FlipBelt product pages for inspiration. Lead with benefits, not specs.</t>
  </si>
  <si>
    <t xml:space="preserve">Product page copy</t>
  </si>
  <si>
    <t xml:space="preserve">2E: Quality Standards &amp; Testing Protocols (Wk 8–10) — 5 tasks</t>
  </si>
  <si>
    <t xml:space="preserve">2E.01</t>
  </si>
  <si>
    <t xml:space="preserve">2E</t>
  </si>
  <si>
    <t xml:space="preserve">Define quality acceptance criteria: stitching standards, zipper pull force, elastic recovery %, color consistency</t>
  </si>
  <si>
    <t xml:space="preserve">QA criteria documented</t>
  </si>
  <si>
    <t xml:space="preserve">Written standards</t>
  </si>
  <si>
    <t xml:space="preserve">Key checks: no loose threads, zipper opens/closes 1000x without failure, elastic retains 90%+ after 50 washes.</t>
  </si>
  <si>
    <t xml:space="preserve">QA document</t>
  </si>
  <si>
    <t xml:space="preserve">2E.02</t>
  </si>
  <si>
    <t xml:space="preserve">Create incoming quality inspection checklist for when production units arrive</t>
  </si>
  <si>
    <t xml:space="preserve">Inspection checklist created</t>
  </si>
  <si>
    <t xml:space="preserve">Checklist ready</t>
  </si>
  <si>
    <t xml:space="preserve">Check 10% of units minimum on arrival: stitching, zippers, sizing accuracy, color matching, packaging.</t>
  </si>
  <si>
    <t xml:space="preserve">QA checklist</t>
  </si>
  <si>
    <t xml:space="preserve">2E.03</t>
  </si>
  <si>
    <t xml:space="preserve">Test production samples for skin safety: no harmful dyes, OEKO-TEX Standard 100 compliance if claiming eco-friendly</t>
  </si>
  <si>
    <t xml:space="preserve">Safety testing passed</t>
  </si>
  <si>
    <t xml:space="preserve">Lab results received</t>
  </si>
  <si>
    <t xml:space="preserve">Ask supplier for existing test certificates. If claiming eco/sustainable, you need documentation to back it up.</t>
  </si>
  <si>
    <t xml:space="preserve">Safety certificates</t>
  </si>
  <si>
    <t xml:space="preserve">2E.04</t>
  </si>
  <si>
    <t xml:space="preserve">Define return/defect handling process: what constitutes a defect, replacement vs refund, communication templates</t>
  </si>
  <si>
    <t xml:space="preserve">Defect policy documented</t>
  </si>
  <si>
    <t xml:space="preserve">Process documented</t>
  </si>
  <si>
    <t xml:space="preserve">Industry standard: &lt;3% defect rate acceptable. Factory should replace defective units free.</t>
  </si>
  <si>
    <t xml:space="preserve">Defect policy</t>
  </si>
  <si>
    <t xml:space="preserve">2E.05</t>
  </si>
  <si>
    <t xml:space="preserve">Establish production quality agreement with supplier: defect rate tolerance, replacement terms, inspection rights</t>
  </si>
  <si>
    <t xml:space="preserve">Wk 9–10</t>
  </si>
  <si>
    <t xml:space="preserve">Quality agreement signed</t>
  </si>
  <si>
    <t xml:space="preserve">Signed agreement</t>
  </si>
  <si>
    <t xml:space="preserve">Put it in writing before placing production order. Cover: defect threshold, rework costs, delivery penalties.</t>
  </si>
  <si>
    <t xml:space="preserve">Quality agreement</t>
  </si>
  <si>
    <t xml:space="preserve">P3: MANUFACTURING &amp; FIRST PRODUCTION RUN  |  Weeks 8–14  |  4 Subprojects  |  22 Tasks</t>
  </si>
  <si>
    <t xml:space="preserve">3A: Production Order &amp; Payment (Wk 8–10) — 6 tasks</t>
  </si>
  <si>
    <t xml:space="preserve">3A.01</t>
  </si>
  <si>
    <t xml:space="preserve">3A</t>
  </si>
  <si>
    <t xml:space="preserve">Finalize production quantity for first run: recommended 250–300 units across all sizes/colors</t>
  </si>
  <si>
    <t xml:space="preserve">Quantity decided</t>
  </si>
  <si>
    <t xml:space="preserve">250–300 units</t>
  </si>
  <si>
    <t xml:space="preserve">Don't over-order. 300 units at $6/ea = $1,800. Better to sell out and reorder than sit on $5K of inventory.</t>
  </si>
  <si>
    <t xml:space="preserve">Production order qty</t>
  </si>
  <si>
    <t xml:space="preserve">3A.02</t>
  </si>
  <si>
    <t xml:space="preserve">Determine size/color split based on market data: recommend 40% black, 25% color 2, 20% color 3, 15% color 4</t>
  </si>
  <si>
    <t xml:space="preserve">SKU split defined</t>
  </si>
  <si>
    <t xml:space="preserve">Units allocated per SKU</t>
  </si>
  <si>
    <t xml:space="preserve">If adjustable belt: fewer size SKUs needed. If fixed sizes: S(20%), M(35%), L(30%), XL(15%) is typical split.</t>
  </si>
  <si>
    <t xml:space="preserve">SKU allocation</t>
  </si>
  <si>
    <t xml:space="preserve">3A.03</t>
  </si>
  <si>
    <t xml:space="preserve">Negotiate final per-unit price with supplier: target $5–8/unit at 300 qty including custom branding</t>
  </si>
  <si>
    <t xml:space="preserve">Price negotiated</t>
  </si>
  <si>
    <t xml:space="preserve">Written price confirmation</t>
  </si>
  <si>
    <t xml:space="preserve">Leverage: "We plan to reorder 500–1000 units within 3 months if quality is good." Suppliers value repeat business.</t>
  </si>
  <si>
    <t xml:space="preserve">Price agreement</t>
  </si>
  <si>
    <t xml:space="preserve">3A.04</t>
  </si>
  <si>
    <t xml:space="preserve">Arrange payment via Alibaba Trade Assurance (buyer protection): 30% deposit, 70% before shipping</t>
  </si>
  <si>
    <t xml:space="preserve">Deposit paid</t>
  </si>
  <si>
    <t xml:space="preserve">Payment confirmed</t>
  </si>
  <si>
    <t xml:space="preserve">ALWAYS use Trade Assurance — it's Alibaba's escrow protection. Never wire money directly outside the platform.</t>
  </si>
  <si>
    <t xml:space="preserve">Payment receipt</t>
  </si>
  <si>
    <t xml:space="preserve">3A.05</t>
  </si>
  <si>
    <t xml:space="preserve">Confirm production timeline: typical 15–30 days for 300 units of a running belt</t>
  </si>
  <si>
    <t xml:space="preserve">Timeline confirmed</t>
  </si>
  <si>
    <t xml:space="preserve">Expected ship date known</t>
  </si>
  <si>
    <t xml:space="preserve">Get written confirmation of production start date and estimated completion. Add 1 week buffer to your plan.</t>
  </si>
  <si>
    <t xml:space="preserve">Production timeline</t>
  </si>
  <si>
    <t xml:space="preserve">3A.06</t>
  </si>
  <si>
    <t xml:space="preserve">Request progress photos/video from factory at 25%, 50%, and 100% completion milestones</t>
  </si>
  <si>
    <t xml:space="preserve">Wk 9–12</t>
  </si>
  <si>
    <t xml:space="preserve">Progress updates received</t>
  </si>
  <si>
    <t xml:space="preserve">3 progress updates</t>
  </si>
  <si>
    <t xml:space="preserve">Good factories will send photos proactively. If they resist, that's a warning sign.</t>
  </si>
  <si>
    <t xml:space="preserve">Progress photos</t>
  </si>
  <si>
    <t xml:space="preserve">3B: Quality Control &amp; Inspection (Wk 12–13) — 6 tasks</t>
  </si>
  <si>
    <t xml:space="preserve">3B.01</t>
  </si>
  <si>
    <t xml:space="preserve">3B</t>
  </si>
  <si>
    <t xml:space="preserve">Request pre-shipment photos of 10 random units from the completed batch</t>
  </si>
  <si>
    <t xml:space="preserve">Wk 12</t>
  </si>
  <si>
    <t xml:space="preserve">Photos received</t>
  </si>
  <si>
    <t xml:space="preserve">10 units photographed</t>
  </si>
  <si>
    <t xml:space="preserve">Check: branding placement, color accuracy, stitching quality, zipper function, size labels.</t>
  </si>
  <si>
    <t xml:space="preserve">Pre-ship photos</t>
  </si>
  <si>
    <t xml:space="preserve">3B.02</t>
  </si>
  <si>
    <t xml:space="preserve">Option: hire third-party QC inspector via Alibaba Inspection Service ($100–300) for on-site factory check</t>
  </si>
  <si>
    <t xml:space="preserve">Inspection decision made</t>
  </si>
  <si>
    <t xml:space="preserve">Inspect or skip (document rationale)</t>
  </si>
  <si>
    <t xml:space="preserve">Worth it for first order. Inspector checks random sample (AQL 2.5 standard) and sends detailed report.</t>
  </si>
  <si>
    <t xml:space="preserve">Inspection report</t>
  </si>
  <si>
    <t xml:space="preserve">3B.03</t>
  </si>
  <si>
    <t xml:space="preserve">Review and approve final production: confirm unit count, packaging, labeling accuracy</t>
  </si>
  <si>
    <t xml:space="preserve">Production approved</t>
  </si>
  <si>
    <t xml:space="preserve">Written shipping approval sent</t>
  </si>
  <si>
    <t xml:space="preserve">Common issues: wrong size labels, color variance from sample, loose threads, zipper pulls missing.</t>
  </si>
  <si>
    <t xml:space="preserve">Approval confirmation</t>
  </si>
  <si>
    <t xml:space="preserve">3B.04</t>
  </si>
  <si>
    <t xml:space="preserve">Pay remaining 70% balance upon satisfactory inspection / pre-shipment approval</t>
  </si>
  <si>
    <t xml:space="preserve">Final payment made</t>
  </si>
  <si>
    <t xml:space="preserve">Only release final payment after you're satisfied with pre-shipment photos/inspection results.</t>
  </si>
  <si>
    <t xml:space="preserve">3B.05</t>
  </si>
  <si>
    <t xml:space="preserve">Confirm packing: units individually poly-bagged, size labeled, packed in export cartons with packing list</t>
  </si>
  <si>
    <t xml:space="preserve">Packing confirmed</t>
  </si>
  <si>
    <t xml:space="preserve">Packing spec met</t>
  </si>
  <si>
    <t xml:space="preserve">Request: individual poly bags, size stickers, organized by color/size in cartons, total carton count + weight.</t>
  </si>
  <si>
    <t xml:space="preserve">Packing confirmation</t>
  </si>
  <si>
    <t xml:space="preserve">3B.06</t>
  </si>
  <si>
    <t xml:space="preserve">Document full production run details: final unit cost, total cost, units per SKU, factory contact, quality notes</t>
  </si>
  <si>
    <t xml:space="preserve">Wk 12–13</t>
  </si>
  <si>
    <t xml:space="preserve">Production record filed</t>
  </si>
  <si>
    <t xml:space="preserve">Full documentation</t>
  </si>
  <si>
    <t xml:space="preserve">This becomes your reference for reorders. Include what went well and what to change next time.</t>
  </si>
  <si>
    <t xml:space="preserve">Production record</t>
  </si>
  <si>
    <t xml:space="preserve">3C: Shipping &amp; Logistics (Wk 12–14) — 5 tasks</t>
  </si>
  <si>
    <t xml:space="preserve">3C.01</t>
  </si>
  <si>
    <t xml:space="preserve">3C</t>
  </si>
  <si>
    <t xml:space="preserve">Choose shipping method: ePacket/China Post (cheap/slow: 15–30 days, $2–4/kg) vs air express (fast: 5–10 days, $5–8/kg)</t>
  </si>
  <si>
    <t xml:space="preserve">Shipping method selected</t>
  </si>
  <si>
    <t xml:space="preserve">Method chosen with cost estimate</t>
  </si>
  <si>
    <t xml:space="preserve">300 belts ≈ 15–25 kg. Air express: ~$120–200. Sea freight not worth it for &lt;500 kg. ePacket: $50–100.</t>
  </si>
  <si>
    <t xml:space="preserve">Shipping decision</t>
  </si>
  <si>
    <t xml:space="preserve">3C.02</t>
  </si>
  <si>
    <t xml:space="preserve">Arrange shipping: supplier handles export, you receive at home/3PL. Get tracking number.</t>
  </si>
  <si>
    <t xml:space="preserve">Shipment dispatched</t>
  </si>
  <si>
    <t xml:space="preserve">Tracking number received</t>
  </si>
  <si>
    <t xml:space="preserve">Most Alibaba suppliers ship DDP (Delivered Duty Paid) for small orders — they handle customs.</t>
  </si>
  <si>
    <t xml:space="preserve">Tracking info</t>
  </si>
  <si>
    <t xml:space="preserve">3C.03</t>
  </si>
  <si>
    <t xml:space="preserve">Understand import duties and taxes: running belts typically classified HS 4202 (bags/cases), duty ~5–17% depending on country</t>
  </si>
  <si>
    <t xml:space="preserve">Duties researched</t>
  </si>
  <si>
    <t xml:space="preserve">Duty rate known</t>
  </si>
  <si>
    <t xml:space="preserve">For &lt;$800 value shipments to US, de minimis exemption may apply. Research your specific country's rules.</t>
  </si>
  <si>
    <t xml:space="preserve">Duty research</t>
  </si>
  <si>
    <t xml:space="preserve">3C.04</t>
  </si>
  <si>
    <t xml:space="preserve">Receive shipment: unbox, count all units, inspect 10% random sample against quality checklist</t>
  </si>
  <si>
    <t xml:space="preserve">Wk 13–14</t>
  </si>
  <si>
    <t xml:space="preserve">Shipment received and inspected</t>
  </si>
  <si>
    <t xml:space="preserve">Unit count matches, quality acceptable</t>
  </si>
  <si>
    <t xml:space="preserve">Document any defects immediately. Photo/video everything. Contact supplier within 48 hours if issues found.</t>
  </si>
  <si>
    <t xml:space="preserve">Receiving report</t>
  </si>
  <si>
    <t xml:space="preserve">3C.05</t>
  </si>
  <si>
    <t xml:space="preserve">Organize inventory storage: by size, by color, with clear labeling for fast fulfillment</t>
  </si>
  <si>
    <t xml:space="preserve">Wk 14</t>
  </si>
  <si>
    <t xml:space="preserve">Inventory organized</t>
  </si>
  <si>
    <t xml:space="preserve">All SKUs sorted and accessible</t>
  </si>
  <si>
    <t xml:space="preserve">For 300 units, a closet or spare room works fine. Use clear bins or shelves, labeled by SKU.</t>
  </si>
  <si>
    <t xml:space="preserve">Inventory system</t>
  </si>
  <si>
    <t xml:space="preserve">3D: Reorder Planning (Wk 13–14) — 5 tasks</t>
  </si>
  <si>
    <t xml:space="preserve">3D.01</t>
  </si>
  <si>
    <t xml:space="preserve">3D</t>
  </si>
  <si>
    <t xml:space="preserve">Calculate reorder point: when inventory hits X units, trigger next production order (lead time buffer)</t>
  </si>
  <si>
    <t xml:space="preserve">Wk 13</t>
  </si>
  <si>
    <t xml:space="preserve">Reorder point set</t>
  </si>
  <si>
    <t xml:space="preserve">Threshold defined per SKU</t>
  </si>
  <si>
    <t xml:space="preserve">Formula: reorder point = (daily sales rate × lead time in days) + safety stock. At 3 sales/day + 30 day lead = 120 units.</t>
  </si>
  <si>
    <t xml:space="preserve">Reorder thresholds</t>
  </si>
  <si>
    <t xml:space="preserve">3D.02</t>
  </si>
  <si>
    <t xml:space="preserve">Set up inventory tracking: spreadsheet with columns for each SKU, units received, units sold, units on hand</t>
  </si>
  <si>
    <t xml:space="preserve">Inventory tracker live</t>
  </si>
  <si>
    <t xml:space="preserve">Real-time stock visibility</t>
  </si>
  <si>
    <t xml:space="preserve">Start with Google Sheets. Shopify also tracks inventory automatically. Reconcile weekly.</t>
  </si>
  <si>
    <t xml:space="preserve">Inventory tracker</t>
  </si>
  <si>
    <t xml:space="preserve">3D.03</t>
  </si>
  <si>
    <t xml:space="preserve">Document lessons learned from first production run: what to change in v2 (materials, sizing, packaging, supplier)</t>
  </si>
  <si>
    <t xml:space="preserve">Lessons documented</t>
  </si>
  <si>
    <t xml:space="preserve">Written improvement list</t>
  </si>
  <si>
    <t xml:space="preserve">First production is always a learning experience. Track everything for continuous improvement.</t>
  </si>
  <si>
    <t xml:space="preserve">Lessons learned doc</t>
  </si>
  <si>
    <t xml:space="preserve">3D.04</t>
  </si>
  <si>
    <t xml:space="preserve">Get reorder pricing from supplier for 500+ units (should be 10–20% cheaper per unit)</t>
  </si>
  <si>
    <t xml:space="preserve">Reorder pricing received</t>
  </si>
  <si>
    <t xml:space="preserve">Written quote for next order</t>
  </si>
  <si>
    <t xml:space="preserve">Negotiate: volume discount, faster production time, payment terms (net 30 after initial trust-building).</t>
  </si>
  <si>
    <t xml:space="preserve">Reorder quote</t>
  </si>
  <si>
    <t xml:space="preserve">3D.05</t>
  </si>
  <si>
    <t xml:space="preserve">Identify backup supplier in case primary has quality or delivery issues</t>
  </si>
  <si>
    <t xml:space="preserve">Backup supplier identified</t>
  </si>
  <si>
    <t xml:space="preserve">1 backup with samples/quote</t>
  </si>
  <si>
    <t xml:space="preserve">Never depend on a single supplier. Keep your #2 supplier warm with occasional sample orders.</t>
  </si>
  <si>
    <t xml:space="preserve">Backup supplier info</t>
  </si>
  <si>
    <t xml:space="preserve">P4: DIGITAL INFRASTRUCTURE &amp; E-COMMERCE  |  Weeks 6–12  |  5 Subprojects  |  28 Tasks</t>
  </si>
  <si>
    <t xml:space="preserve">4A: Shopify Store Setup (Wk 6–9) — 7 tasks</t>
  </si>
  <si>
    <t xml:space="preserve">4A.01</t>
  </si>
  <si>
    <t xml:space="preserve">4A</t>
  </si>
  <si>
    <t xml:space="preserve">Create Shopify account (Basic plan: $29/mo or $1/mo for first 3 months with trial offer)</t>
  </si>
  <si>
    <t xml:space="preserve">Shopify account active</t>
  </si>
  <si>
    <t xml:space="preserve">Store created</t>
  </si>
  <si>
    <t xml:space="preserve">Use Shopify over WooCommerce — better for D2C, faster setup, built-in payments. $1/mo trial = best deal.</t>
  </si>
  <si>
    <t xml:space="preserve">Store URL</t>
  </si>
  <si>
    <t xml:space="preserve">4A.02</t>
  </si>
  <si>
    <t xml:space="preserve">Select and customize theme: Dawn (free) or Sense (free) — both are clean, fast, mobile-optimized</t>
  </si>
  <si>
    <t xml:space="preserve">Theme customized</t>
  </si>
  <si>
    <t xml:space="preserve">Brand colors/fonts/logo applied</t>
  </si>
  <si>
    <t xml:space="preserve">Dawn is best free theme for single-product brands. Don't buy a paid theme yet — free themes convert fine.</t>
  </si>
  <si>
    <t xml:space="preserve">Theme setup</t>
  </si>
  <si>
    <t xml:space="preserve">4A.03</t>
  </si>
  <si>
    <t xml:space="preserve">Build product page with: 8+ photos, video, description, size guide, comparison, reviews section, FAQ accordion</t>
  </si>
  <si>
    <t xml:space="preserve">Product page live</t>
  </si>
  <si>
    <t xml:space="preserve">All content elements present</t>
  </si>
  <si>
    <t xml:space="preserve">Product page is your #1 revenue driver. Study Naked Running Band and FlipBelt product pages for structure.</t>
  </si>
  <si>
    <t xml:space="preserve">Product page URL</t>
  </si>
  <si>
    <t xml:space="preserve">4A.04</t>
  </si>
  <si>
    <t xml:space="preserve">Set up essential pages: Home, About, FAQ, Contact, Shipping Policy, Returns Policy, Privacy Policy, Terms</t>
  </si>
  <si>
    <t xml:space="preserve">All pages live</t>
  </si>
  <si>
    <t xml:space="preserve">8+ pages published</t>
  </si>
  <si>
    <t xml:space="preserve">Shopify has free policy generators. "About" page should tell your founder story prominently.</t>
  </si>
  <si>
    <t xml:space="preserve">All page URLs</t>
  </si>
  <si>
    <t xml:space="preserve">4A.05</t>
  </si>
  <si>
    <t xml:space="preserve">Configure shipping rates: free shipping threshold ($50+?), flat rate options, international shipping zones</t>
  </si>
  <si>
    <t xml:space="preserve">Shipping configured</t>
  </si>
  <si>
    <t xml:space="preserve">Rates set for all zones</t>
  </si>
  <si>
    <t xml:space="preserve">Recommendation: free shipping on all orders (build shipping cost into product price). Simplicity converts.</t>
  </si>
  <si>
    <t xml:space="preserve">Shipping settings</t>
  </si>
  <si>
    <t xml:space="preserve">4A.06</t>
  </si>
  <si>
    <t xml:space="preserve">Set up payment processing: Shopify Payments (US/UK/CA) or Stripe/PayPal for other countries</t>
  </si>
  <si>
    <t xml:space="preserve">Payments working</t>
  </si>
  <si>
    <t xml:space="preserve">Test transaction successful</t>
  </si>
  <si>
    <t xml:space="preserve">Shopify Payments: 2.9% + $0.30. If outside supported countries, use Stripe + PayPal as backup.</t>
  </si>
  <si>
    <t xml:space="preserve">Payment configuration</t>
  </si>
  <si>
    <t xml:space="preserve">4A.07</t>
  </si>
  <si>
    <t xml:space="preserve">Place test order through entire checkout flow: add to cart → checkout → payment → confirmation email → fulfillment</t>
  </si>
  <si>
    <t xml:space="preserve">Full flow tested</t>
  </si>
  <si>
    <t xml:space="preserve">Order placed and fulfilled end-to-end</t>
  </si>
  <si>
    <t xml:space="preserve">Use Shopify Bogus Gateway for testing without real charges. Check mobile flow especially — 70%+ orders are mobile.</t>
  </si>
  <si>
    <t xml:space="preserve">Test order confirmation</t>
  </si>
  <si>
    <t xml:space="preserve">4B: Email Marketing Setup (Wk 7–10) — 6 tasks</t>
  </si>
  <si>
    <t xml:space="preserve">4B.01</t>
  </si>
  <si>
    <t xml:space="preserve">4B</t>
  </si>
  <si>
    <t xml:space="preserve">Set up Klaviyo account (free up to 250 contacts) and integrate with Shopify</t>
  </si>
  <si>
    <t xml:space="preserve">Klaviyo connected</t>
  </si>
  <si>
    <t xml:space="preserve">Integration active</t>
  </si>
  <si>
    <t xml:space="preserve">Klaviyo &gt; Mailchimp for e-commerce. Free tier is generous enough for launch. Email drives 30%+ of D2C revenue.</t>
  </si>
  <si>
    <t xml:space="preserve">Klaviyo setup</t>
  </si>
  <si>
    <t xml:space="preserve">4B.02</t>
  </si>
  <si>
    <t xml:space="preserve">Create welcome email flow (3 emails): welcome + brand story → product education → social proof + CTA</t>
  </si>
  <si>
    <t xml:space="preserve">Welcome flow live</t>
  </si>
  <si>
    <t xml:space="preserve">3 emails automated</t>
  </si>
  <si>
    <t xml:space="preserve">Email 1: welcome + 10% off code. Email 2 (day 2): "Why we built this." Email 3 (day 4): reviews + CTA to buy.</t>
  </si>
  <si>
    <t xml:space="preserve">Welcome flow emails</t>
  </si>
  <si>
    <t xml:space="preserve">4B.03</t>
  </si>
  <si>
    <t xml:space="preserve">Create abandoned cart flow (3 emails): reminder (1hr) → social proof (24hr) → urgency/discount (48hr)</t>
  </si>
  <si>
    <t xml:space="preserve">Cart abandonment flow live</t>
  </si>
  <si>
    <t xml:space="preserve">Abandoned cart flows recover 5–15% of lost sales. The #1 most profitable email automation for any store.</t>
  </si>
  <si>
    <t xml:space="preserve">Cart recovery flow</t>
  </si>
  <si>
    <t xml:space="preserve">4B.04</t>
  </si>
  <si>
    <t xml:space="preserve">Create post-purchase flow (3 emails): order confirmation → shipping update → review request (14 days post-delivery)</t>
  </si>
  <si>
    <t xml:space="preserve">Post-purchase flow live</t>
  </si>
  <si>
    <t xml:space="preserve">Review request email at day 14 = sweet spot (enough time to test, before they forget). Include QR code/direct link.</t>
  </si>
  <si>
    <t xml:space="preserve">Post-purchase flow</t>
  </si>
  <si>
    <t xml:space="preserve">4B.05</t>
  </si>
  <si>
    <t xml:space="preserve">Design email templates matching brand identity: header, footer, product blocks, CTA buttons</t>
  </si>
  <si>
    <t xml:space="preserve">Templates designed</t>
  </si>
  <si>
    <t xml:space="preserve">Consistent brand templates</t>
  </si>
  <si>
    <t xml:space="preserve">Keep emails simple — plain text often outperforms heavily designed emails for small brands.</t>
  </si>
  <si>
    <t xml:space="preserve">Email templates</t>
  </si>
  <si>
    <t xml:space="preserve">4B.06</t>
  </si>
  <si>
    <t xml:space="preserve">Set up signup popup on Shopify: offer 10% off first order for email signup</t>
  </si>
  <si>
    <t xml:space="preserve">Popup live</t>
  </si>
  <si>
    <t xml:space="preserve">Popup showing on site</t>
  </si>
  <si>
    <t xml:space="preserve">Use Klaviyo's built-in popup. Show after 5 seconds or on exit intent. Expected signup rate: 3–8%.</t>
  </si>
  <si>
    <t xml:space="preserve">Popup configuration</t>
  </si>
  <si>
    <t xml:space="preserve">4C: Analytics &amp; Tracking (Wk 7–9) — 5 tasks</t>
  </si>
  <si>
    <t xml:space="preserve">4C.01</t>
  </si>
  <si>
    <t xml:space="preserve">4C</t>
  </si>
  <si>
    <t xml:space="preserve">Install Google Analytics 4 with Shopify integration and enable enhanced e-commerce tracking</t>
  </si>
  <si>
    <t xml:space="preserve">GA4 live</t>
  </si>
  <si>
    <t xml:space="preserve">All ecommerce events firing</t>
  </si>
  <si>
    <t xml:space="preserve">Free and essential. Track: page views, add to cart, checkout initiated, purchase, revenue.</t>
  </si>
  <si>
    <t xml:space="preserve">GA4 setup</t>
  </si>
  <si>
    <t xml:space="preserve">4C.02</t>
  </si>
  <si>
    <t xml:space="preserve">Install Meta Pixel (Facebook/Instagram) for ad tracking and retargeting</t>
  </si>
  <si>
    <t xml:space="preserve">Meta Pixel live</t>
  </si>
  <si>
    <t xml:space="preserve">All conversion events tracking</t>
  </si>
  <si>
    <t xml:space="preserve">Even if not running ads yet — install the pixel to build retargeting audiences from day 1.</t>
  </si>
  <si>
    <t xml:space="preserve">Meta Pixel setup</t>
  </si>
  <si>
    <t xml:space="preserve">4C.03</t>
  </si>
  <si>
    <t xml:space="preserve">Set up Google Search Console and submit sitemap for SEO indexing</t>
  </si>
  <si>
    <t xml:space="preserve">GSC active</t>
  </si>
  <si>
    <t xml:space="preserve">Sitemap submitted</t>
  </si>
  <si>
    <t xml:space="preserve">Free. Shopify auto-generates sitemap. Submit to Google to start getting indexed.</t>
  </si>
  <si>
    <t xml:space="preserve">GSC setup</t>
  </si>
  <si>
    <t xml:space="preserve">4C.04</t>
  </si>
  <si>
    <t xml:space="preserve">Install Hotjar or Microsoft Clarity (free) for heatmaps and session recordings</t>
  </si>
  <si>
    <t xml:space="preserve">Heatmap tool installed</t>
  </si>
  <si>
    <t xml:space="preserve">Recordings active</t>
  </si>
  <si>
    <t xml:space="preserve">Watch 20 session recordings after launch to see where customers get confused or drop off.</t>
  </si>
  <si>
    <t xml:space="preserve">Heatmap tool</t>
  </si>
  <si>
    <t xml:space="preserve">4C.05</t>
  </si>
  <si>
    <t xml:space="preserve">Create tracking spreadsheet: daily dashboard of traffic, conversion rate, revenue, orders, AOV, email signups</t>
  </si>
  <si>
    <t xml:space="preserve">Dashboard created</t>
  </si>
  <si>
    <t xml:space="preserve">Daily tracking active</t>
  </si>
  <si>
    <t xml:space="preserve">Start simple: Google Sheet with date, sessions, orders, revenue, conversion rate, email signups.</t>
  </si>
  <si>
    <t xml:space="preserve">Tracking dashboard</t>
  </si>
  <si>
    <t xml:space="preserve">4D: SEO &amp; Content Foundation (Wk 8–12) — 5 tasks</t>
  </si>
  <si>
    <t xml:space="preserve">4D.01</t>
  </si>
  <si>
    <t xml:space="preserve">4D</t>
  </si>
  <si>
    <t xml:space="preserve">Conduct keyword research: target 20 keywords for product pages, collection pages, and future blog content</t>
  </si>
  <si>
    <t xml:space="preserve">Keywords identified</t>
  </si>
  <si>
    <t xml:space="preserve">20+ target keywords</t>
  </si>
  <si>
    <t xml:space="preserve">Primary: "best running belt" (40K/mo). Long-tail: "running belt for iPhone 16", "no bounce running belt", "eco running belt".</t>
  </si>
  <si>
    <t xml:space="preserve">Keyword list</t>
  </si>
  <si>
    <t xml:space="preserve">4D.02</t>
  </si>
  <si>
    <t xml:space="preserve">Optimize product page SEO: title tag, meta description, H1, image alt text, URL slug</t>
  </si>
  <si>
    <t xml:space="preserve">On-page SEO complete</t>
  </si>
  <si>
    <t xml:space="preserve">All elements optimized</t>
  </si>
  <si>
    <t xml:space="preserve">Title: "[Brand] Running Belt — [Key Feature] | Free Shipping". Keep meta description under 155 characters.</t>
  </si>
  <si>
    <t xml:space="preserve">SEO checklist</t>
  </si>
  <si>
    <t xml:space="preserve">4D.03</t>
  </si>
  <si>
    <t xml:space="preserve">Write and publish 3 SEO-optimized blog posts: "Best Running Belts 2026", "How to Carry Phone While Running", "Running Belt vs Armband"</t>
  </si>
  <si>
    <t xml:space="preserve">Wk 10–12</t>
  </si>
  <si>
    <t xml:space="preserve">Blog posts published</t>
  </si>
  <si>
    <t xml:space="preserve">3 posts (1,500+ words each)</t>
  </si>
  <si>
    <t xml:space="preserve">Long-form content drives organic traffic over time. Include your product naturally. Add comparison tables.</t>
  </si>
  <si>
    <t xml:space="preserve">3 blog posts</t>
  </si>
  <si>
    <t xml:space="preserve">4D.04</t>
  </si>
  <si>
    <t xml:space="preserve">Set up basic link building: submit to 5+ running gear directories, reach out to 3 running bloggers for reviews</t>
  </si>
  <si>
    <t xml:space="preserve">Link building started</t>
  </si>
  <si>
    <t xml:space="preserve">5+ directory submissions</t>
  </si>
  <si>
    <t xml:space="preserve">Free directories: running gear lists, startup directories, product hunt. Blogger outreach: offer free product for honest review.</t>
  </si>
  <si>
    <t xml:space="preserve">Link building tracker</t>
  </si>
  <si>
    <t xml:space="preserve">4D.05</t>
  </si>
  <si>
    <t xml:space="preserve">Optimize site speed: compress images (TinyPNG), minimize apps, test Google PageSpeed score (target 80+)</t>
  </si>
  <si>
    <t xml:space="preserve">Wk 10</t>
  </si>
  <si>
    <t xml:space="preserve">Site speed optimized</t>
  </si>
  <si>
    <t xml:space="preserve">PageSpeed score 80+</t>
  </si>
  <si>
    <t xml:space="preserve">Shopify Dawn theme is already fast. Main drag: uncompressed images. Use WebP format, lazy loading.</t>
  </si>
  <si>
    <t xml:space="preserve">PageSpeed score</t>
  </si>
  <si>
    <t xml:space="preserve">4E: Amazon Preparation (Wk 10–12) — 5 tasks</t>
  </si>
  <si>
    <t xml:space="preserve">4E.01</t>
  </si>
  <si>
    <t xml:space="preserve">4E</t>
  </si>
  <si>
    <t xml:space="preserve">Decide: launch on Amazon alongside Shopify, or D2C-only first? (Recommendation: D2C first 3 months, then add Amazon)</t>
  </si>
  <si>
    <t xml:space="preserve">Amazon strategy decided</t>
  </si>
  <si>
    <t xml:space="preserve">Decision documented</t>
  </si>
  <si>
    <t xml:space="preserve">Pros: discovery + credibility. Cons: 15% fee, price pressure, brand control loss. Start D2C to learn, then expand.</t>
  </si>
  <si>
    <t xml:space="preserve">Amazon decision</t>
  </si>
  <si>
    <t xml:space="preserve">4E.02</t>
  </si>
  <si>
    <t xml:space="preserve">If Amazon: create Amazon Seller account (Professional: $39.99/mo) and apply for brand registry</t>
  </si>
  <si>
    <t xml:space="preserve">Wk 10–11</t>
  </si>
  <si>
    <t xml:space="preserve">Account created</t>
  </si>
  <si>
    <t xml:space="preserve">Seller account active</t>
  </si>
  <si>
    <t xml:space="preserve">Brand Registry requires trademark (pending TM works). Gives access to A+ Content, Brand Store, vine reviews.</t>
  </si>
  <si>
    <t xml:space="preserve">Amazon account</t>
  </si>
  <si>
    <t xml:space="preserve">4E.03</t>
  </si>
  <si>
    <t xml:space="preserve">Prepare Amazon listing: title (200 chars), 5 bullet points, A+ content, 7+ images, backend keywords</t>
  </si>
  <si>
    <t xml:space="preserve">Wk 11–12</t>
  </si>
  <si>
    <t xml:space="preserve">Listing drafted</t>
  </si>
  <si>
    <t xml:space="preserve">All elements prepared</t>
  </si>
  <si>
    <t xml:space="preserve">Study top-selling FlipBelt and SPIbelt listings. Title formula: Brand + Product + Key Feature + Size + Use Case.</t>
  </si>
  <si>
    <t xml:space="preserve">Amazon listing draft</t>
  </si>
  <si>
    <t xml:space="preserve">4E.04</t>
  </si>
  <si>
    <t xml:space="preserve">Plan Amazon launch strategy: initial pricing (match or undercut key competitor), Vine reviews (30 free units)</t>
  </si>
  <si>
    <t xml:space="preserve">Launch strategy planned</t>
  </si>
  <si>
    <t xml:space="preserve">Strategy documented</t>
  </si>
  <si>
    <t xml:space="preserve">Amazon Vine: send 30 units for free reviews from trusted reviewers. Critical for new listing credibility.</t>
  </si>
  <si>
    <t xml:space="preserve">Amazon launch plan</t>
  </si>
  <si>
    <t xml:space="preserve">4E.05</t>
  </si>
  <si>
    <t xml:space="preserve">Decide fulfillment: FBA (Amazon warehouses) vs FBM (ship yourself). FBA recommended for Prime badge and convenience.</t>
  </si>
  <si>
    <t xml:space="preserve">Fulfillment decided</t>
  </si>
  <si>
    <t xml:space="preserve">FBA or FBM chosen</t>
  </si>
  <si>
    <t xml:space="preserve">FBA fees: ~$3–5/unit for running belts. Worth it for Prime badge which increases conversion 2–3x.</t>
  </si>
  <si>
    <t xml:space="preserve">Fulfillment decision</t>
  </si>
  <si>
    <t xml:space="preserve">P5: CONTENT, COMMUNITY &amp; INFLUENCER MARKETING  |  Weeks 8–20  |  5 Subprojects  |  26 Tasks</t>
  </si>
  <si>
    <t xml:space="preserve">5A: Influencer Seeding Program (Wk 8–14) — 6 tasks</t>
  </si>
  <si>
    <t xml:space="preserve">5A.01</t>
  </si>
  <si>
    <t xml:space="preserve">5A</t>
  </si>
  <si>
    <t xml:space="preserve">Build target influencer list: 30 micro-influencers (1K–50K followers) in running/fitness niche on IG and TikTok</t>
  </si>
  <si>
    <t xml:space="preserve">Influencer list built</t>
  </si>
  <si>
    <t xml:space="preserve">30+ candidates identified</t>
  </si>
  <si>
    <t xml:space="preserve">Focus on engagement rate (&gt;3%) not follower count. Running coaches, local elites, marathon bloggers.</t>
  </si>
  <si>
    <t xml:space="preserve">Influencer database</t>
  </si>
  <si>
    <t xml:space="preserve">5A.02</t>
  </si>
  <si>
    <t xml:space="preserve">Craft personalized outreach DMs/emails: product gift offer in exchange for honest review (no payment required)</t>
  </si>
  <si>
    <t xml:space="preserve">Outreach templates created</t>
  </si>
  <si>
    <t xml:space="preserve">2–3 message templates</t>
  </si>
  <si>
    <t xml:space="preserve">Template: personal compliment + why you chose them + free product offer + no strings attached. Keep it genuine.</t>
  </si>
  <si>
    <t xml:space="preserve">Outreach templates</t>
  </si>
  <si>
    <t xml:space="preserve">5A.03</t>
  </si>
  <si>
    <t xml:space="preserve">Send outreach to first batch of 15 influencers and track response rate</t>
  </si>
  <si>
    <t xml:space="preserve">Outreach sent</t>
  </si>
  <si>
    <t xml:space="preserve">15 influencers contacted</t>
  </si>
  <si>
    <t xml:space="preserve">Expect 20–30% acceptance rate = 3–5 seeded products. Follow up once if no reply after 5 days.</t>
  </si>
  <si>
    <t xml:space="preserve">Outreach tracker</t>
  </si>
  <si>
    <t xml:space="preserve">5A.04</t>
  </si>
  <si>
    <t xml:space="preserve">Ship free product to accepted influencers with branded packaging + personalized handwritten note</t>
  </si>
  <si>
    <t xml:space="preserve">Products shipped</t>
  </si>
  <si>
    <t xml:space="preserve">All accepted influencers received product</t>
  </si>
  <si>
    <t xml:space="preserve">Cost: ~$15/seeded unit (product + shipping). Budget 20 units = $300. This is the Gymshark playbook.</t>
  </si>
  <si>
    <t xml:space="preserve">Shipping confirmations</t>
  </si>
  <si>
    <t xml:space="preserve">5A.05</t>
  </si>
  <si>
    <t xml:space="preserve">Track and repost all influencer content: save posts, stories, TikToks. Request permission to use as ads/testimonials</t>
  </si>
  <si>
    <t xml:space="preserve">Wk 11–14</t>
  </si>
  <si>
    <t xml:space="preserve">Content tracked</t>
  </si>
  <si>
    <t xml:space="preserve">10+ pieces of influencer content</t>
  </si>
  <si>
    <t xml:space="preserve">UGC (user-generated content) converts 4x better than brand-created content in ads. This is gold.</t>
  </si>
  <si>
    <t xml:space="preserve">UGC content library</t>
  </si>
  <si>
    <t xml:space="preserve">5A.06</t>
  </si>
  <si>
    <t xml:space="preserve">Send second wave: 15 more influencers based on learnings from wave 1 response rates and content quality</t>
  </si>
  <si>
    <t xml:space="preserve">Wk 12–14</t>
  </si>
  <si>
    <t xml:space="preserve">Wave 2 sent</t>
  </si>
  <si>
    <t xml:space="preserve">15 more contacted</t>
  </si>
  <si>
    <t xml:space="preserve">Refine targeting based on which niches/follower ranges produced best content from wave 1.</t>
  </si>
  <si>
    <t xml:space="preserve">Wave 2 tracker</t>
  </si>
  <si>
    <t xml:space="preserve">5B: Content Marketing &amp; Social Media (Wk 8–Ongoing) — 6 tasks</t>
  </si>
  <si>
    <t xml:space="preserve">5B.01</t>
  </si>
  <si>
    <t xml:space="preserve">5B</t>
  </si>
  <si>
    <t xml:space="preserve">Create content pillar strategy: 1) Product demos, 2) Running tips, 3) Behind-the-scenes, 4) Community/UGC reposts</t>
  </si>
  <si>
    <t xml:space="preserve">Content strategy defined</t>
  </si>
  <si>
    <t xml:space="preserve">4 pillars documented</t>
  </si>
  <si>
    <t xml:space="preserve">Ratio: 40% educational/entertaining, 30% product, 20% community, 10% promotional.</t>
  </si>
  <si>
    <t xml:space="preserve">Content strategy doc</t>
  </si>
  <si>
    <t xml:space="preserve">5B.02</t>
  </si>
  <si>
    <t xml:space="preserve">Batch-create 20 pieces of short-form video content (15–60 sec) for TikTok and Instagram Reels</t>
  </si>
  <si>
    <t xml:space="preserve">Content batch created</t>
  </si>
  <si>
    <t xml:space="preserve">20 videos ready to post</t>
  </si>
  <si>
    <t xml:space="preserve">Formats: "What fits in my running belt", "Running belt bounce test", "Runner tries X for the first time", "Running belt comparison".</t>
  </si>
  <si>
    <t xml:space="preserve">Video content library</t>
  </si>
  <si>
    <t xml:space="preserve">5B.03</t>
  </si>
  <si>
    <t xml:space="preserve">Establish posting schedule: TikTok daily, Instagram 4–5x/week, stories daily, engage in comments 30 min/day</t>
  </si>
  <si>
    <t xml:space="preserve">Schedule active</t>
  </si>
  <si>
    <t xml:space="preserve">Consistent posting maintained</t>
  </si>
  <si>
    <t xml:space="preserve">Use Later.com (free tier) or Buffer for scheduling. Consistency matters more than perfection.</t>
  </si>
  <si>
    <t xml:space="preserve">5B.04</t>
  </si>
  <si>
    <t xml:space="preserve">Create 5 "pillar" long-form YouTube videos: running belt buying guide, honest comparisons, marathon prep gear</t>
  </si>
  <si>
    <t xml:space="preserve">Wk 12–16</t>
  </si>
  <si>
    <t xml:space="preserve">YouTube videos published</t>
  </si>
  <si>
    <t xml:space="preserve">5 videos live</t>
  </si>
  <si>
    <t xml:space="preserve">YouTube = long-term SEO play. "Best running belt" searches happen constantly. Low competition for quality content.</t>
  </si>
  <si>
    <t xml:space="preserve">YouTube channel</t>
  </si>
  <si>
    <t xml:space="preserve">5B.05</t>
  </si>
  <si>
    <t xml:space="preserve">Engage in 5+ running communities daily: Reddit r/running, r/marathontraining, Strava clubs, Facebook groups</t>
  </si>
  <si>
    <t xml:space="preserve">5+ daily interactions</t>
  </si>
  <si>
    <t xml:space="preserve">Be genuinely helpful. Recommend your product only when directly relevant. Build reputation as gear expert.</t>
  </si>
  <si>
    <t xml:space="preserve">5B.06</t>
  </si>
  <si>
    <t xml:space="preserve">Track content performance weekly: impressions, engagement rate, follower growth, website clicks, sales attributed</t>
  </si>
  <si>
    <t xml:space="preserve">Performance tracking active</t>
  </si>
  <si>
    <t xml:space="preserve">Weekly metrics review</t>
  </si>
  <si>
    <t xml:space="preserve">Kill underperforming content types. Double down on what works. Aim for 3%+ engagement rate.</t>
  </si>
  <si>
    <t xml:space="preserve">Performance tracker</t>
  </si>
  <si>
    <t xml:space="preserve">5C: Running Community &amp; Events (Wk 10–18) — 5 tasks</t>
  </si>
  <si>
    <t xml:space="preserve">5C.01</t>
  </si>
  <si>
    <t xml:space="preserve">5C</t>
  </si>
  <si>
    <t xml:space="preserve">Identify 5 local running events, parkruns, or club meetups to attend with product samples</t>
  </si>
  <si>
    <t xml:space="preserve">Events identified</t>
  </si>
  <si>
    <t xml:space="preserve">5+ events on calendar</t>
  </si>
  <si>
    <t xml:space="preserve">SPIbelt launched at Austin Marathon. Events = direct customer contact + immediate feedback + sales.</t>
  </si>
  <si>
    <t xml:space="preserve">Event calendar</t>
  </si>
  <si>
    <t xml:space="preserve">5C.02</t>
  </si>
  <si>
    <t xml:space="preserve">Prepare event kit: 10 sample products, business cards, QR code stand for instant purchase, phone for content capture</t>
  </si>
  <si>
    <t xml:space="preserve">Wk 11</t>
  </si>
  <si>
    <t xml:space="preserve">Event kit ready</t>
  </si>
  <si>
    <t xml:space="preserve">All materials prepared</t>
  </si>
  <si>
    <t xml:space="preserve">QR code → Shopify product page with event-exclusive 10% discount code. Capture email of everyone who tries product.</t>
  </si>
  <si>
    <t xml:space="preserve">Event kit checklist</t>
  </si>
  <si>
    <t xml:space="preserve">5C.03</t>
  </si>
  <si>
    <t xml:space="preserve">Attend first 3 running events and document results: products tried, emails captured, sales, feedback received</t>
  </si>
  <si>
    <t xml:space="preserve">Events attended</t>
  </si>
  <si>
    <t xml:space="preserve">3 events completed</t>
  </si>
  <si>
    <t xml:space="preserve">Target: 20+ product trials per event, 10+ emails captured, 3–5 direct sales. Photo/video everything for content.</t>
  </si>
  <si>
    <t xml:space="preserve">Event results tracker</t>
  </si>
  <si>
    <t xml:space="preserve">5C.04</t>
  </si>
  <si>
    <t xml:space="preserve">Partner with 2–3 local running clubs: offer club member discount (15%), provide free product for group leaders</t>
  </si>
  <si>
    <t xml:space="preserve">Wk 14–16</t>
  </si>
  <si>
    <t xml:space="preserve">Club partnerships active</t>
  </si>
  <si>
    <t xml:space="preserve">2–3 partnerships established</t>
  </si>
  <si>
    <t xml:space="preserve">Running clubs = organic word-of-mouth machine. Club leaders are trusted influencers within their community.</t>
  </si>
  <si>
    <t xml:space="preserve">Partnership agreements</t>
  </si>
  <si>
    <t xml:space="preserve">5C.05</t>
  </si>
  <si>
    <t xml:space="preserve">Create a Strava club or online running community branded to your belt for ongoing engagement</t>
  </si>
  <si>
    <t xml:space="preserve">Wk 16–18</t>
  </si>
  <si>
    <t xml:space="preserve">Community launched</t>
  </si>
  <si>
    <t xml:space="preserve">Online community active</t>
  </si>
  <si>
    <t xml:space="preserve">Strava club is free. Host monthly challenges, share running tips, feature customer stories.</t>
  </si>
  <si>
    <t xml:space="preserve">Community URL</t>
  </si>
  <si>
    <t xml:space="preserve">5D: PR &amp; Media Outreach (Wk 12–18) — 4 tasks</t>
  </si>
  <si>
    <t xml:space="preserve">5D.01</t>
  </si>
  <si>
    <t xml:space="preserve">5D</t>
  </si>
  <si>
    <t xml:space="preserve">Build media list: 20 running gear reviewers, bloggers, YouTubers, and podcast hosts</t>
  </si>
  <si>
    <t xml:space="preserve">Media list built</t>
  </si>
  <si>
    <t xml:space="preserve">20+ contacts</t>
  </si>
  <si>
    <t xml:space="preserve">Targets: Trail &amp; Kale, Road Trail Run, iRunFar, The Running Channel, RunRepeat, GearJunkie.</t>
  </si>
  <si>
    <t xml:space="preserve">Media contact list</t>
  </si>
  <si>
    <t xml:space="preserve">5D.02</t>
  </si>
  <si>
    <t xml:space="preserve">Craft press kit: press release, high-res photos, product specs, founder bio, and unique brand angle</t>
  </si>
  <si>
    <t xml:space="preserve">Press kit ready</t>
  </si>
  <si>
    <t xml:space="preserve">Complete kit</t>
  </si>
  <si>
    <t xml:space="preserve">Host press kit on Google Drive or Dropbox with easy sharing link. Include lifestyle photos.</t>
  </si>
  <si>
    <t xml:space="preserve">Press kit folder</t>
  </si>
  <si>
    <t xml:space="preserve">5D.03</t>
  </si>
  <si>
    <t xml:space="preserve">Send product samples to 10 running gear reviewers with personalized pitch focused on what makes your belt different</t>
  </si>
  <si>
    <t xml:space="preserve">Samples sent to media</t>
  </si>
  <si>
    <t xml:space="preserve">10 reviewers seeded</t>
  </si>
  <si>
    <t xml:space="preserve">Even 1 review from a trusted running site can drive hundreds of sales. Be patient — reviewers get many pitches.</t>
  </si>
  <si>
    <t xml:space="preserve">Media outreach tracker</t>
  </si>
  <si>
    <t xml:space="preserve">5D.04</t>
  </si>
  <si>
    <t xml:space="preserve">Pitch story angles to 5 publications: "bootstrapped founder", "from Pakistan to global D2C", "sustainable running gear"</t>
  </si>
  <si>
    <t xml:space="preserve">Pitches sent</t>
  </si>
  <si>
    <t xml:space="preserve">5 publications pitched</t>
  </si>
  <si>
    <t xml:space="preserve">Your unique angle: launching a global D2C running brand from Pakistan on $10K. That's a story editors want to tell.</t>
  </si>
  <si>
    <t xml:space="preserve">Pitch tracker</t>
  </si>
  <si>
    <t xml:space="preserve">5E: Referral &amp; Ambassador Program (Wk 14–20) — 5 tasks</t>
  </si>
  <si>
    <t xml:space="preserve">5E.01</t>
  </si>
  <si>
    <t xml:space="preserve">5E</t>
  </si>
  <si>
    <t xml:space="preserve">Set up referral program: give $5, get $5 (or 15% off) using Shopify app (ReferralCandy or Smile.io free tier)</t>
  </si>
  <si>
    <t xml:space="preserve">Referral program live</t>
  </si>
  <si>
    <t xml:space="preserve">App installed and configured</t>
  </si>
  <si>
    <t xml:space="preserve">Runners are the most recommendation-driven consumers. A referral program turns every customer into a salesperson.</t>
  </si>
  <si>
    <t xml:space="preserve">Referral program</t>
  </si>
  <si>
    <t xml:space="preserve">5E.02</t>
  </si>
  <si>
    <t xml:space="preserve">Design ambassador program: 10 "founding ambassadors" get free product + 20% commission on referred sales</t>
  </si>
  <si>
    <t xml:space="preserve">Wk 14–15</t>
  </si>
  <si>
    <t xml:space="preserve">Ambassador program designed</t>
  </si>
  <si>
    <t xml:space="preserve">Program structure documented</t>
  </si>
  <si>
    <t xml:space="preserve">Recruit from: your best early customers, local runners, micro-influencers who already posted about your product.</t>
  </si>
  <si>
    <t xml:space="preserve">Ambassador program doc</t>
  </si>
  <si>
    <t xml:space="preserve">5E.03</t>
  </si>
  <si>
    <t xml:space="preserve">Recruit first 10 ambassadors from early customers and influencer contacts</t>
  </si>
  <si>
    <t xml:space="preserve">Ambassadors recruited</t>
  </si>
  <si>
    <t xml:space="preserve">10 ambassadors active</t>
  </si>
  <si>
    <t xml:space="preserve">Give each ambassador a unique discount code to share. Track sales per ambassador.</t>
  </si>
  <si>
    <t xml:space="preserve">Ambassador roster</t>
  </si>
  <si>
    <t xml:space="preserve">5E.04</t>
  </si>
  <si>
    <t xml:space="preserve">Create ambassador content kit: product photos, brand assets, suggested captions, hashtags, talking points</t>
  </si>
  <si>
    <t xml:space="preserve">Wk 16</t>
  </si>
  <si>
    <t xml:space="preserve">Content kit created</t>
  </si>
  <si>
    <t xml:space="preserve">Shareable asset folder</t>
  </si>
  <si>
    <t xml:space="preserve">Make it easy for ambassadors to create content. Provide templates they can personalize.</t>
  </si>
  <si>
    <t xml:space="preserve">Ambassador kit</t>
  </si>
  <si>
    <t xml:space="preserve">5E.05</t>
  </si>
  <si>
    <t xml:space="preserve">Track ambassador performance monthly: content created, referral sales, engagement, and optimize program</t>
  </si>
  <si>
    <t xml:space="preserve">Wk 18–Ongoing</t>
  </si>
  <si>
    <t xml:space="preserve">Tracking active</t>
  </si>
  <si>
    <t xml:space="preserve">Monthly performance review</t>
  </si>
  <si>
    <t xml:space="preserve">Reward top performers with exclusive product, higher commission, or featured spotlight on social media.</t>
  </si>
  <si>
    <t xml:space="preserve">Ambassador tracker</t>
  </si>
  <si>
    <t xml:space="preserve">P6: LAUNCH EXECUTION &amp; PAID ACQUISITION  |  Weeks 12–20  |  5 Subprojects  |  25 Tasks</t>
  </si>
  <si>
    <t xml:space="preserve">6A: Pre-Launch Campaign (Wk 12–14) — 5 tasks</t>
  </si>
  <si>
    <t xml:space="preserve">6A.01</t>
  </si>
  <si>
    <t xml:space="preserve">6A</t>
  </si>
  <si>
    <t xml:space="preserve">Build launch countdown: 14-day email sequence to waitlist teasing product reveals, behind-the-scenes, founder story</t>
  </si>
  <si>
    <t xml:space="preserve">Countdown sequence live</t>
  </si>
  <si>
    <t xml:space="preserve">5+ countdown emails drafted</t>
  </si>
  <si>
    <t xml:space="preserve">Day -14: "Something's coming". Day -7: "First look". Day -3: "Founding member pricing". Day -1: "Tomorrow."</t>
  </si>
  <si>
    <t xml:space="preserve">Email sequence</t>
  </si>
  <si>
    <t xml:space="preserve">6A.02</t>
  </si>
  <si>
    <t xml:space="preserve">Create "Founding Member" offer: first 50 buyers get 20% off + exclusive founding member tag/perk</t>
  </si>
  <si>
    <t xml:space="preserve">Founding offer created</t>
  </si>
  <si>
    <t xml:space="preserve">Discount code + landing page ready</t>
  </si>
  <si>
    <t xml:space="preserve">Scarcity drives action. "Only 50 available" creates urgency. Tag founding members for future loyalty perks.</t>
  </si>
  <si>
    <t xml:space="preserve">Founding member offer</t>
  </si>
  <si>
    <t xml:space="preserve">6A.03</t>
  </si>
  <si>
    <t xml:space="preserve">Coordinate launch day social media blitz: 3+ posts across IG, TikTok, stories, reels</t>
  </si>
  <si>
    <t xml:space="preserve">Launch content scheduled</t>
  </si>
  <si>
    <t xml:space="preserve">All posts ready to publish</t>
  </si>
  <si>
    <t xml:space="preserve">Pre-schedule on Later or Buffer. Include: launch announcement, product demo video, founder story, countdown.</t>
  </si>
  <si>
    <t xml:space="preserve">Launch content</t>
  </si>
  <si>
    <t xml:space="preserve">6A.04</t>
  </si>
  <si>
    <t xml:space="preserve">Brief all ambassadors and influencers on launch date — ask them to post on launch day</t>
  </si>
  <si>
    <t xml:space="preserve">Launch team briefed</t>
  </si>
  <si>
    <t xml:space="preserve">All partners notified</t>
  </si>
  <si>
    <t xml:space="preserve">Send them: launch date, discount code to share, key product points, brand hashtag. Coordinate timing.</t>
  </si>
  <si>
    <t xml:space="preserve">Launch briefing</t>
  </si>
  <si>
    <t xml:space="preserve">6A.05</t>
  </si>
  <si>
    <t xml:space="preserve">Final QA: test entire purchase flow, email automations, tracking pixels, inventory counts one more time</t>
  </si>
  <si>
    <t xml:space="preserve">Final QA passed</t>
  </si>
  <si>
    <t xml:space="preserve">All systems go</t>
  </si>
  <si>
    <t xml:space="preserve">Place 2–3 test orders from different devices (mobile, desktop). Check every email fires correctly.</t>
  </si>
  <si>
    <t xml:space="preserve">6B: Launch Week Execution (Wk 14–15) — 5 tasks</t>
  </si>
  <si>
    <t xml:space="preserve">6B.01</t>
  </si>
  <si>
    <t xml:space="preserve">6B</t>
  </si>
  <si>
    <t xml:space="preserve">LAUNCH DAY: Send launch email to full waitlist, publish all social content, activate founding member pricing</t>
  </si>
  <si>
    <t xml:space="preserve">Store live and selling</t>
  </si>
  <si>
    <t xml:space="preserve">First orders received</t>
  </si>
  <si>
    <t xml:space="preserve">Best launch days: Tuesday or Wednesday (highest email open rates). Time: 9 AM in your primary market timezone.</t>
  </si>
  <si>
    <t xml:space="preserve">Launch confirmation</t>
  </si>
  <si>
    <t xml:space="preserve">6B.02</t>
  </si>
  <si>
    <t xml:space="preserve">Monitor all channels hour-by-hour on launch day: orders, site traffic, email opens, social engagement, customer questions</t>
  </si>
  <si>
    <t xml:space="preserve">Real-time monitoring active</t>
  </si>
  <si>
    <t xml:space="preserve">All issues caught within 1 hour</t>
  </si>
  <si>
    <t xml:space="preserve">Have laptop open all day. Respond to every comment, DM, and email within 30 minutes. First impressions matter.</t>
  </si>
  <si>
    <t xml:space="preserve">Launch day log</t>
  </si>
  <si>
    <t xml:space="preserve">6B.03</t>
  </si>
  <si>
    <t xml:space="preserve">Fulfill all launch day/week orders within 24 hours: pack, label, ship, send tracking email</t>
  </si>
  <si>
    <t xml:space="preserve">All orders shipped</t>
  </si>
  <si>
    <t xml:space="preserve">Average fulfillment &lt;24 hours</t>
  </si>
  <si>
    <t xml:space="preserve">Fast shipping builds trust and drives positive reviews. Hand-write a thank you note on first 50 orders.</t>
  </si>
  <si>
    <t xml:space="preserve">Fulfillment log</t>
  </si>
  <si>
    <t xml:space="preserve">6B.04</t>
  </si>
  <si>
    <t xml:space="preserve">Post daily launch week content: customer reactions, sales milestones, behind-the-scenes packing, shoutouts</t>
  </si>
  <si>
    <t xml:space="preserve">Daily content posted</t>
  </si>
  <si>
    <t xml:space="preserve">7 days of launch content</t>
  </si>
  <si>
    <t xml:space="preserve">"50 sold in first 48 hours" — celebrate milestones publicly. Builds social proof and FOMO.</t>
  </si>
  <si>
    <t xml:space="preserve">Launch week content</t>
  </si>
  <si>
    <t xml:space="preserve">6B.05</t>
  </si>
  <si>
    <t xml:space="preserve">Compile launch week results: total orders, revenue, traffic sources, conversion rate, email performance, social metrics</t>
  </si>
  <si>
    <t xml:space="preserve">Wk 15</t>
  </si>
  <si>
    <t xml:space="preserve">Launch report complete</t>
  </si>
  <si>
    <t xml:space="preserve">Full metrics documented</t>
  </si>
  <si>
    <t xml:space="preserve">Target: 30–50 orders in week 1 (ambitious for $10K budget). Even 15–20 is solid for validation.</t>
  </si>
  <si>
    <t xml:space="preserve">Launch week report</t>
  </si>
  <si>
    <t xml:space="preserve">6C: Paid Advertising — Meta Ads (Wk 15–20) — 5 tasks</t>
  </si>
  <si>
    <t xml:space="preserve">6C.01</t>
  </si>
  <si>
    <t xml:space="preserve">6C</t>
  </si>
  <si>
    <t xml:space="preserve">Set up Meta Ads Manager, create Business Manager, verify domain, configure Conversions API</t>
  </si>
  <si>
    <t xml:space="preserve">Ads Manager configured</t>
  </si>
  <si>
    <t xml:space="preserve">All tracking working</t>
  </si>
  <si>
    <t xml:space="preserve">Free to set up. Takes 1–2 hours. Essential for running any Facebook or Instagram ads.</t>
  </si>
  <si>
    <t xml:space="preserve">Ads Manager setup</t>
  </si>
  <si>
    <t xml:space="preserve">6C.02</t>
  </si>
  <si>
    <t xml:space="preserve">Create first ad campaign: $10–15/day budget, 3 ad sets testing different audiences (runners, marathoners, fitness enthusiasts)</t>
  </si>
  <si>
    <t xml:space="preserve">Wk 15–16</t>
  </si>
  <si>
    <t xml:space="preserve">Campaign launched</t>
  </si>
  <si>
    <t xml:space="preserve">Ads live and spending</t>
  </si>
  <si>
    <t xml:space="preserve">Start with Advantage+ Shopping campaigns (Meta's AI does the targeting). Use video ads — they outperform static 3x.</t>
  </si>
  <si>
    <t xml:space="preserve">Campaign structure</t>
  </si>
  <si>
    <t xml:space="preserve">6C.03</t>
  </si>
  <si>
    <t xml:space="preserve">Create 5 ad variations: video demo, UGC/influencer content, before/after comparison, testimonial, lifestyle</t>
  </si>
  <si>
    <t xml:space="preserve">Ad creatives ready</t>
  </si>
  <si>
    <t xml:space="preserve">5 variations live</t>
  </si>
  <si>
    <t xml:space="preserve">Creative is 80% of ad performance. Best format: 15-sec vertical video with hook in first 3 seconds.</t>
  </si>
  <si>
    <t xml:space="preserve">Ad creative library</t>
  </si>
  <si>
    <t xml:space="preserve">6C.04</t>
  </si>
  <si>
    <t xml:space="preserve">Monitor and optimize ads daily for first 2 weeks: kill losers, scale winners, test new audiences</t>
  </si>
  <si>
    <t xml:space="preserve">Daily optimization active</t>
  </si>
  <si>
    <t xml:space="preserve">Target: CPA &lt;$15, ROAS &gt;2.5x</t>
  </si>
  <si>
    <t xml:space="preserve">Week 1: let it learn (don't touch). Week 2: kill ads with CPA &gt;$20. Scale ads with CPA &lt;$12.</t>
  </si>
  <si>
    <t xml:space="preserve">Ad performance tracker</t>
  </si>
  <si>
    <t xml:space="preserve">6C.05</t>
  </si>
  <si>
    <t xml:space="preserve">Set up retargeting campaigns: target site visitors who didn't purchase, cart abandoners, and email subscribers</t>
  </si>
  <si>
    <t xml:space="preserve">Wk 17–18</t>
  </si>
  <si>
    <t xml:space="preserve">Retargeting live</t>
  </si>
  <si>
    <t xml:space="preserve">Retargeting audiences active</t>
  </si>
  <si>
    <t xml:space="preserve">Retargeting converts 3–5x better than cold traffic. Show: customer reviews, "still thinking about it?", limited stock.</t>
  </si>
  <si>
    <t xml:space="preserve">Retargeting campaigns</t>
  </si>
  <si>
    <t xml:space="preserve">6D: Paid Advertising — Google (Wk 16–20) — 5 tasks</t>
  </si>
  <si>
    <t xml:space="preserve">6D.01</t>
  </si>
  <si>
    <t xml:space="preserve">6D</t>
  </si>
  <si>
    <t xml:space="preserve">Set up Google Ads account and Shopping feed via Shopify's Google channel integration</t>
  </si>
  <si>
    <t xml:space="preserve">Google Ads configured</t>
  </si>
  <si>
    <t xml:space="preserve">Shopping feed active</t>
  </si>
  <si>
    <t xml:space="preserve">Google Shopping shows your product with image and price directly in search results. High-intent traffic.</t>
  </si>
  <si>
    <t xml:space="preserve">Google Ads setup</t>
  </si>
  <si>
    <t xml:space="preserve">6D.02</t>
  </si>
  <si>
    <t xml:space="preserve">Create Google Shopping campaign: $5–10/day budget targeting "running belt" and related purchase-intent keywords</t>
  </si>
  <si>
    <t xml:space="preserve">Wk 16–17</t>
  </si>
  <si>
    <t xml:space="preserve">Shopping campaign live</t>
  </si>
  <si>
    <t xml:space="preserve">Ads showing for target keywords</t>
  </si>
  <si>
    <t xml:space="preserve">Google Shopping captures buyers actively searching. Lower volume than Meta but higher intent and conversion.</t>
  </si>
  <si>
    <t xml:space="preserve">Shopping campaign</t>
  </si>
  <si>
    <t xml:space="preserve">6D.03</t>
  </si>
  <si>
    <t xml:space="preserve">Create Google Search campaign: 10 exact-match keywords like "best running belt", "running belt for phone"</t>
  </si>
  <si>
    <t xml:space="preserve">Wk 17</t>
  </si>
  <si>
    <t xml:space="preserve">Search campaign live</t>
  </si>
  <si>
    <t xml:space="preserve">10+ keywords active</t>
  </si>
  <si>
    <t xml:space="preserve">Start with exact match only to control spend. Expand to phrase match once you have conversion data.</t>
  </si>
  <si>
    <t xml:space="preserve">Search campaign</t>
  </si>
  <si>
    <t xml:space="preserve">6D.04</t>
  </si>
  <si>
    <t xml:space="preserve">Set up Google retargeting: display ads to site visitors across the Google Display Network</t>
  </si>
  <si>
    <t xml:space="preserve">Wk 18</t>
  </si>
  <si>
    <t xml:space="preserve">Display retargeting live</t>
  </si>
  <si>
    <t xml:space="preserve">Retargeting audience active</t>
  </si>
  <si>
    <t xml:space="preserve">Low cost ($1–3 CPM), keeps brand visible. Use product images with review stars and price.</t>
  </si>
  <si>
    <t xml:space="preserve">Display retargeting</t>
  </si>
  <si>
    <t xml:space="preserve">6D.05</t>
  </si>
  <si>
    <t xml:space="preserve">Monthly ad budget review: allocate $500–800/month across Meta + Google based on performance data</t>
  </si>
  <si>
    <t xml:space="preserve">Wk 20</t>
  </si>
  <si>
    <t xml:space="preserve">Budget optimized</t>
  </si>
  <si>
    <t xml:space="preserve">Best-performing channel gets 60%+ of budget</t>
  </si>
  <si>
    <t xml:space="preserve">Typical split for running belts: 60% Meta (discovery), 30% Google (intent), 10% testing new channels.</t>
  </si>
  <si>
    <t xml:space="preserve">6E: Launch Metrics &amp; Optimization (Wk 16–20) — 5 tasks</t>
  </si>
  <si>
    <t xml:space="preserve">6E.01</t>
  </si>
  <si>
    <t xml:space="preserve">6E</t>
  </si>
  <si>
    <t xml:space="preserve">Establish weekly KPI review cadence: traffic, conversion rate, AOV, CAC, ROAS, email revenue %, review count</t>
  </si>
  <si>
    <t xml:space="preserve">Weekly review active</t>
  </si>
  <si>
    <t xml:space="preserve">Dashboard reviewed every Monday</t>
  </si>
  <si>
    <t xml:space="preserve">Target KPIs: 2%+ conversion rate, &lt;$15 CAC, 3:1+ LTV:CAC, 30%+ email revenue share, 4.5+ avg review rating.</t>
  </si>
  <si>
    <t xml:space="preserve">KPI dashboard</t>
  </si>
  <si>
    <t xml:space="preserve">6E.02</t>
  </si>
  <si>
    <t xml:space="preserve">A/B test product page: test 2 hero images, 2 headlines, price display format, CTA button text</t>
  </si>
  <si>
    <t xml:space="preserve">A/B tests running</t>
  </si>
  <si>
    <t xml:space="preserve">2+ tests active</t>
  </si>
  <si>
    <t xml:space="preserve">Use Shopify's built-in A/B testing or free Google Optimize alternative. Test 1 variable at a time.</t>
  </si>
  <si>
    <t xml:space="preserve">Test results</t>
  </si>
  <si>
    <t xml:space="preserve">6E.03</t>
  </si>
  <si>
    <t xml:space="preserve">Analyze first 30 days of customer data: who bought, where from, what drove them, what almost stopped them</t>
  </si>
  <si>
    <t xml:space="preserve">Customer analysis complete</t>
  </si>
  <si>
    <t xml:space="preserve">Profile of ideal customer validated</t>
  </si>
  <si>
    <t xml:space="preserve">Look at: age/gender breakdown, geographic distribution, top traffic sources, most common landing page, exit pages.</t>
  </si>
  <si>
    <t xml:space="preserve">Customer analysis</t>
  </si>
  <si>
    <t xml:space="preserve">6E.04</t>
  </si>
  <si>
    <t xml:space="preserve">Collect and respond to first 20+ product reviews: identify patterns in praise and complaints</t>
  </si>
  <si>
    <t xml:space="preserve">Wk 18–20</t>
  </si>
  <si>
    <t xml:space="preserve">Reviews collected</t>
  </si>
  <si>
    <t xml:space="preserve">20+ reviews with analysis</t>
  </si>
  <si>
    <t xml:space="preserve">Send review request email at day 14 post-delivery. Offer 10% off next order for review. Respond to ALL reviews.</t>
  </si>
  <si>
    <t xml:space="preserve">Review analysis</t>
  </si>
  <si>
    <t xml:space="preserve">6E.05</t>
  </si>
  <si>
    <t xml:space="preserve">Create 90-day optimization plan based on all launch data: what to scale, what to fix, what to kill</t>
  </si>
  <si>
    <t xml:space="preserve">90-day plan created</t>
  </si>
  <si>
    <t xml:space="preserve">Written plan with priorities</t>
  </si>
  <si>
    <t xml:space="preserve">Focus resources on what the data says works. Cut what doesn't. Avoid gut-feel decisions — follow the numbers.</t>
  </si>
  <si>
    <t xml:space="preserve">90-day plan</t>
  </si>
  <si>
    <t xml:space="preserve">P7: FINANCIAL OPERATIONS &amp; CASH FLOW  |  Weeks 1–Ongoing  |  4 Subprojects  |  18 Tasks</t>
  </si>
  <si>
    <t xml:space="preserve">7A: Business Setup &amp; Banking (Wk 1–4) — 5 tasks</t>
  </si>
  <si>
    <t xml:space="preserve">7A.01</t>
  </si>
  <si>
    <t xml:space="preserve">7A</t>
  </si>
  <si>
    <t xml:space="preserve">Register business entity (LLC or equivalent in your country) and obtain tax ID / EIN</t>
  </si>
  <si>
    <t xml:space="preserve">Business registered</t>
  </si>
  <si>
    <t xml:space="preserve">Legal entity active</t>
  </si>
  <si>
    <t xml:space="preserve">For Pakistan-based founder selling globally: consider US LLC (Wyoming/Delaware) via Stripe Atlas ($500) for payment access.</t>
  </si>
  <si>
    <t xml:space="preserve">Registration docs</t>
  </si>
  <si>
    <t xml:space="preserve">7A.02</t>
  </si>
  <si>
    <t xml:space="preserve">Open business bank account separate from personal finances</t>
  </si>
  <si>
    <t xml:space="preserve">Bank account open</t>
  </si>
  <si>
    <t xml:space="preserve">Account active with deposits</t>
  </si>
  <si>
    <t xml:space="preserve">Options: Wise Business (multi-currency, great for global), Mercury (US startups), or local bank.</t>
  </si>
  <si>
    <t xml:space="preserve">Bank account</t>
  </si>
  <si>
    <t xml:space="preserve">7A.03</t>
  </si>
  <si>
    <t xml:space="preserve">Set up accounting: Wave (free) or QuickBooks ($15/mo) — track every dollar from day 1</t>
  </si>
  <si>
    <t xml:space="preserve">Accounting system active</t>
  </si>
  <si>
    <t xml:space="preserve">All transactions tracked</t>
  </si>
  <si>
    <t xml:space="preserve">Wave is free and sufficient for early stage. Connect bank account for automatic transaction import.</t>
  </si>
  <si>
    <t xml:space="preserve">Accounting setup</t>
  </si>
  <si>
    <t xml:space="preserve">7A.04</t>
  </si>
  <si>
    <t xml:space="preserve">Create chart of accounts for D2C running belt business: COGS, shipping, marketing, platform fees, packaging</t>
  </si>
  <si>
    <t xml:space="preserve">Chart of accounts created</t>
  </si>
  <si>
    <t xml:space="preserve">All categories defined</t>
  </si>
  <si>
    <t xml:space="preserve">Key categories: product COGS, shipping/fulfillment, marketing (ads, influencers), platform fees, packaging, SaaS tools.</t>
  </si>
  <si>
    <t xml:space="preserve">Chart of accounts</t>
  </si>
  <si>
    <t xml:space="preserve">7A.05</t>
  </si>
  <si>
    <t xml:space="preserve">Set up Shopify tax settings and understand sales tax obligations (Shopify auto-calculates for US)</t>
  </si>
  <si>
    <t xml:space="preserve">Tax settings configured</t>
  </si>
  <si>
    <t xml:space="preserve">Correct tax collection active</t>
  </si>
  <si>
    <t xml:space="preserve">Nexus rules vary by state/country. Shopify auto-collects for US states with economic nexus.</t>
  </si>
  <si>
    <t xml:space="preserve">Tax configuration</t>
  </si>
  <si>
    <t xml:space="preserve">7B: Financial Modeling &amp; Budgeting (Wk 2–6) — 5 tasks</t>
  </si>
  <si>
    <t xml:space="preserve">7B.01</t>
  </si>
  <si>
    <t xml:space="preserve">7B</t>
  </si>
  <si>
    <t xml:space="preserve">Build detailed unit economics model: COGS breakdown, contribution margin, break-even analysis</t>
  </si>
  <si>
    <t xml:space="preserve">At $35 price: COGS $6, packaging $1.50, shipping $5, Shopify fees $1.75 = $20.75 gross profit (59%).</t>
  </si>
  <si>
    <t xml:space="preserve">Unit economics spreadsheet</t>
  </si>
  <si>
    <t xml:space="preserve">7B.02</t>
  </si>
  <si>
    <t xml:space="preserve">Build 12-month cash flow forecast with weekly granularity for months 1–3, monthly for months 4–12</t>
  </si>
  <si>
    <t xml:space="preserve">12 months projected</t>
  </si>
  <si>
    <t xml:space="preserve">Critical constraint: inventory purchase timing vs revenue realization. Plan for cash gaps.</t>
  </si>
  <si>
    <t xml:space="preserve">7B.03</t>
  </si>
  <si>
    <t xml:space="preserve">Allocate $10K budget across all projects with 25% contingency reserve</t>
  </si>
  <si>
    <t xml:space="preserve">All projects funded</t>
  </si>
  <si>
    <t xml:space="preserve">Proposed: Product $3,500 | Marketing $2,000 | E-commerce $500 | Legal/IP $500 | Contingency $2,500 | Tools $1,000.</t>
  </si>
  <si>
    <t xml:space="preserve">7B.04</t>
  </si>
  <si>
    <t xml:space="preserve">Set monthly financial review cadence: P&amp;L review, cash position, CAC tracking, inventory value</t>
  </si>
  <si>
    <t xml:space="preserve">Monthly review scheduled</t>
  </si>
  <si>
    <t xml:space="preserve">First review completed</t>
  </si>
  <si>
    <t xml:space="preserve">Set calendar reminder for last Sunday of each month. 1 hour review prevents cash flow surprises.</t>
  </si>
  <si>
    <t xml:space="preserve">Review schedule</t>
  </si>
  <si>
    <t xml:space="preserve">7B.05</t>
  </si>
  <si>
    <t xml:space="preserve">Define financial milestones: breakeven date target, first profitable month target, revenue targets by quarter</t>
  </si>
  <si>
    <t xml:space="preserve">Milestones defined</t>
  </si>
  <si>
    <t xml:space="preserve">Written targets with dates</t>
  </si>
  <si>
    <t xml:space="preserve">Realistic targets: breakeven by month 4–5, $3K/mo revenue by month 6, $5K/mo by month 9.</t>
  </si>
  <si>
    <t xml:space="preserve">Financial milestones</t>
  </si>
  <si>
    <t xml:space="preserve">7C: Payment &amp; International Operations (Wk 4–8) — 4 tasks</t>
  </si>
  <si>
    <t xml:space="preserve">7C.01</t>
  </si>
  <si>
    <t xml:space="preserve">7C</t>
  </si>
  <si>
    <t xml:space="preserve">Set up multi-currency payment processing: Shopify Payments + PayPal + Wise for receiving global payments</t>
  </si>
  <si>
    <t xml:space="preserve">Multi-currency active</t>
  </si>
  <si>
    <t xml:space="preserve">Accept USD, EUR, GBP, AUD minimum</t>
  </si>
  <si>
    <t xml:space="preserve">Wise Business account gives you USD, EUR, GBP bank details for receiving payments. Low FX fees.</t>
  </si>
  <si>
    <t xml:space="preserve">Payment setup</t>
  </si>
  <si>
    <t xml:space="preserve">7C.02</t>
  </si>
  <si>
    <t xml:space="preserve">Research and set up international shipping rates: US, UK, EU, Australia, Canada as priority markets</t>
  </si>
  <si>
    <t xml:space="preserve">International shipping configured</t>
  </si>
  <si>
    <t xml:space="preserve">Rates set for 5+ countries</t>
  </si>
  <si>
    <t xml:space="preserve">Options: Shopify Shipping (discounted DHL/USPS), ShipStation, Pirate Ship (US), or local post for Pakistan.</t>
  </si>
  <si>
    <t xml:space="preserve">Shipping rates</t>
  </si>
  <si>
    <t xml:space="preserve">7C.03</t>
  </si>
  <si>
    <t xml:space="preserve">Understand VAT/GST obligations for selling to EU, UK, Australia — set up IOSS if needed</t>
  </si>
  <si>
    <t xml:space="preserve">Tax obligations mapped</t>
  </si>
  <si>
    <t xml:space="preserve">Compliance plan documented</t>
  </si>
  <si>
    <t xml:space="preserve">EU IOSS: required for shipments &lt;€150. UK: VAT registration if selling &gt;£39/mo. Consult a tax professional for specifics.</t>
  </si>
  <si>
    <t xml:space="preserve">Tax compliance plan</t>
  </si>
  <si>
    <t xml:space="preserve">7C.04</t>
  </si>
  <si>
    <t xml:space="preserve">Set up profit margin tracker: actual vs projected margins reviewed monthly</t>
  </si>
  <si>
    <t xml:space="preserve">Margin tracker active</t>
  </si>
  <si>
    <t xml:space="preserve">Monthly review process</t>
  </si>
  <si>
    <t xml:space="preserve">Track: gross margin per unit sold, blended CAC, net margin after all costs. Adjust pricing if margins thin.</t>
  </si>
  <si>
    <t xml:space="preserve">Margin tracker</t>
  </si>
  <si>
    <t xml:space="preserve">7D: Inventory &amp; COGS Management (Wk 8–Ongoing) — 4 tasks</t>
  </si>
  <si>
    <t xml:space="preserve">7D.01</t>
  </si>
  <si>
    <t xml:space="preserve">7D</t>
  </si>
  <si>
    <t xml:space="preserve">Set up inventory tracking: Shopify inventory + spreadsheet backup with reorder alerts</t>
  </si>
  <si>
    <t xml:space="preserve">Inventory system live</t>
  </si>
  <si>
    <t xml:space="preserve">Shopify tracks automatically. Add spreadsheet for: PO history, landed costs, aging analysis.</t>
  </si>
  <si>
    <t xml:space="preserve">7D.02</t>
  </si>
  <si>
    <t xml:space="preserve">Calculate landed cost per unit (product + shipping + duties + packaging + fulfillment labor)</t>
  </si>
  <si>
    <t xml:space="preserve">Landed cost calculated</t>
  </si>
  <si>
    <t xml:space="preserve">True COGS known per SKU</t>
  </si>
  <si>
    <t xml:space="preserve">This is your real COGS, not just the factory price. Include everything that touches the product before the customer gets it.</t>
  </si>
  <si>
    <t xml:space="preserve">Landed cost calc</t>
  </si>
  <si>
    <t xml:space="preserve">7D.03</t>
  </si>
  <si>
    <t xml:space="preserve">Track inventory turnover rate: target selling through initial batch in 60–90 days</t>
  </si>
  <si>
    <t xml:space="preserve">Wk 14–Ongoing</t>
  </si>
  <si>
    <t xml:space="preserve">Turnover tracked</t>
  </si>
  <si>
    <t xml:space="preserve">Monthly turnover calculated</t>
  </si>
  <si>
    <t xml:space="preserve">300 units / 90 days = 3.3 units/day or ~100/month. If tracking below this, increase marketing or adjust pricing.</t>
  </si>
  <si>
    <t xml:space="preserve">Turnover tracker</t>
  </si>
  <si>
    <t xml:space="preserve">7D.04</t>
  </si>
  <si>
    <t xml:space="preserve">Plan reorder timing: place next PO when 30–45 days of inventory remain (accounting for production + shipping lead time)</t>
  </si>
  <si>
    <t xml:space="preserve">Wk 16–Ongoing</t>
  </si>
  <si>
    <t xml:space="preserve">Reorder system active</t>
  </si>
  <si>
    <t xml:space="preserve">Never stock out</t>
  </si>
  <si>
    <t xml:space="preserve">Stockouts kill momentum. Better to slightly overstock than miss sales. Second order: increase to 500 units for better pricing.</t>
  </si>
  <si>
    <t xml:space="preserve">Reorder calendar</t>
  </si>
  <si>
    <t xml:space="preserve">P8: LEGAL, COMPLIANCE &amp; IP PROTECTION  |  Weeks 1–10  |  4 Subprojects  |  16 Tasks</t>
  </si>
  <si>
    <t xml:space="preserve">8A: Business Formation &amp; Structure (Wk 1–4) — 4 tasks</t>
  </si>
  <si>
    <t xml:space="preserve">8A.01</t>
  </si>
  <si>
    <t xml:space="preserve">8A</t>
  </si>
  <si>
    <t xml:space="preserve">Research optimal business structure for international D2C: domestic entity vs US LLC vs both</t>
  </si>
  <si>
    <t xml:space="preserve">Structure decided</t>
  </si>
  <si>
    <t xml:space="preserve">Entity type chosen with rationale</t>
  </si>
  <si>
    <t xml:space="preserve">For Pakistan → global: US LLC (Wyoming) via Stripe Atlas ($500) gives access to US payment rails and Shopify Payments.</t>
  </si>
  <si>
    <t xml:space="preserve">Entity decision</t>
  </si>
  <si>
    <t xml:space="preserve">8A.02</t>
  </si>
  <si>
    <t xml:space="preserve">Form business entity and obtain all required registrations/tax IDs</t>
  </si>
  <si>
    <t xml:space="preserve">Entity formed</t>
  </si>
  <si>
    <t xml:space="preserve">Registration complete</t>
  </si>
  <si>
    <t xml:space="preserve">DIY: $100–300. Stripe Atlas: $500 (includes LLC, bank account, Stripe integration). LegalZoom: $79–259.</t>
  </si>
  <si>
    <t xml:space="preserve">Formation docs</t>
  </si>
  <si>
    <t xml:space="preserve">8A.03</t>
  </si>
  <si>
    <t xml:space="preserve">Obtain required business licenses and permits for e-commerce in your jurisdiction</t>
  </si>
  <si>
    <t xml:space="preserve">Licenses obtained</t>
  </si>
  <si>
    <t xml:space="preserve">All required licenses active</t>
  </si>
  <si>
    <t xml:space="preserve">Requirements vary by location. Most e-commerce businesses need: business license, reseller permit (for wholesale).</t>
  </si>
  <si>
    <t xml:space="preserve">License copies</t>
  </si>
  <si>
    <t xml:space="preserve">8A.04</t>
  </si>
  <si>
    <t xml:space="preserve">Set up business insurance: product liability insurance ($300–500/year for small D2C brands)</t>
  </si>
  <si>
    <t xml:space="preserve">Insurance active</t>
  </si>
  <si>
    <t xml:space="preserve">Policy in force</t>
  </si>
  <si>
    <t xml:space="preserve">Product liability protects against injury claims. Not strictly required at launch but strongly recommended.</t>
  </si>
  <si>
    <t xml:space="preserve">Insurance policy</t>
  </si>
  <si>
    <t xml:space="preserve">8B: Intellectual Property (Wk 3–8) — 4 tasks</t>
  </si>
  <si>
    <t xml:space="preserve">8B.01</t>
  </si>
  <si>
    <t xml:space="preserve">8B</t>
  </si>
  <si>
    <t xml:space="preserve">File trademark application for brand name (Class 028 — sporting goods) in primary market</t>
  </si>
  <si>
    <t xml:space="preserve">Filing receipt received</t>
  </si>
  <si>
    <t xml:space="preserve">USPTO TEAS Plus: $250/class. Madrid Protocol for international: ~$650+. Can use ™ immediately, ® after registration.</t>
  </si>
  <si>
    <t xml:space="preserve">TM filing receipt</t>
  </si>
  <si>
    <t xml:space="preserve">8B.02</t>
  </si>
  <si>
    <t xml:space="preserve">File trademark for logo mark separately if significantly different from word mark</t>
  </si>
  <si>
    <t xml:space="preserve">Logo TM filed</t>
  </si>
  <si>
    <t xml:space="preserve">Optional at launch stage but recommended if logo is distinctive. Additional $250/class.</t>
  </si>
  <si>
    <t xml:space="preserve">Logo TM receipt</t>
  </si>
  <si>
    <t xml:space="preserve">8B.03</t>
  </si>
  <si>
    <t xml:space="preserve">If product has genuinely novel design feature, research design patent or utility patent feasibility</t>
  </si>
  <si>
    <t xml:space="preserve">Low</t>
  </si>
  <si>
    <t xml:space="preserve">Patent research complete</t>
  </si>
  <si>
    <t xml:space="preserve">Decision made (file or skip)</t>
  </si>
  <si>
    <t xml:space="preserve">Provisional patent: $1,600+ with attorney, $150 self-file. Only worth it if truly novel. Most running belts aren't patentable.</t>
  </si>
  <si>
    <t xml:space="preserve">Patent decision</t>
  </si>
  <si>
    <t xml:space="preserve">8B.04</t>
  </si>
  <si>
    <t xml:space="preserve">Register copyright for website content, photography, and brand materials</t>
  </si>
  <si>
    <t xml:space="preserve">Copyright registered</t>
  </si>
  <si>
    <t xml:space="preserve">Registration certificate</t>
  </si>
  <si>
    <t xml:space="preserve">Copyright is automatic upon creation but registration ($55) enables statutory damages in infringement cases.</t>
  </si>
  <si>
    <t xml:space="preserve">Copyright registration</t>
  </si>
  <si>
    <t xml:space="preserve">8C: E-Commerce Compliance (Wk 4–8) — 4 tasks</t>
  </si>
  <si>
    <t xml:space="preserve">8C.01</t>
  </si>
  <si>
    <t xml:space="preserve">8C</t>
  </si>
  <si>
    <t xml:space="preserve">Create and publish required legal pages: Privacy Policy, Terms of Service, Returns/Refund Policy, Shipping Policy</t>
  </si>
  <si>
    <t xml:space="preserve">Legal pages published</t>
  </si>
  <si>
    <t xml:space="preserve">All 4 pages live on site</t>
  </si>
  <si>
    <t xml:space="preserve">Use Shopify's free policy generators as starting point. Customize for your specific business practices.</t>
  </si>
  <si>
    <t xml:space="preserve">Legal page URLs</t>
  </si>
  <si>
    <t xml:space="preserve">8C.02</t>
  </si>
  <si>
    <t xml:space="preserve">Ensure GDPR compliance: cookie consent banner, data processing disclosure, right to deletion process</t>
  </si>
  <si>
    <t xml:space="preserve">GDPR compliant</t>
  </si>
  <si>
    <t xml:space="preserve">Cookie banner + privacy controls active</t>
  </si>
  <si>
    <t xml:space="preserve">Required if selling to EU/UK customers. Use Shopify's built-in cookie banner or free app like CookieBot.</t>
  </si>
  <si>
    <t xml:space="preserve">GDPR checklist</t>
  </si>
  <si>
    <t xml:space="preserve">8C.03</t>
  </si>
  <si>
    <t xml:space="preserve">Set up consumer protection compliance: clear pricing, accurate product descriptions, honest marketing claims</t>
  </si>
  <si>
    <t xml:space="preserve">Compliance review done</t>
  </si>
  <si>
    <t xml:space="preserve">All claims verified</t>
  </si>
  <si>
    <t xml:space="preserve">Don't claim "waterproof" if it's "water-resistant". Don't say "eco-friendly" without documentation to back it up.</t>
  </si>
  <si>
    <t xml:space="preserve">Claims review</t>
  </si>
  <si>
    <t xml:space="preserve">8C.04</t>
  </si>
  <si>
    <t xml:space="preserve">Review product labeling requirements: country of origin, material composition, care instructions</t>
  </si>
  <si>
    <t xml:space="preserve">Wk 6–8</t>
  </si>
  <si>
    <t xml:space="preserve">Labeling compliant</t>
  </si>
  <si>
    <t xml:space="preserve">All labels meet requirements</t>
  </si>
  <si>
    <t xml:space="preserve">US FTC requires: fiber content, country of origin, care instructions on textile products. Ensure labels are correct.</t>
  </si>
  <si>
    <t xml:space="preserve">Label review</t>
  </si>
  <si>
    <t xml:space="preserve">8D: Contracts &amp; Agreements (Wk 6–10) — 4 tasks</t>
  </si>
  <si>
    <t xml:space="preserve">8D.01</t>
  </si>
  <si>
    <t xml:space="preserve">8D</t>
  </si>
  <si>
    <t xml:space="preserve">Create supplier agreement template: quality standards, payment terms, IP ownership, dispute resolution</t>
  </si>
  <si>
    <t xml:space="preserve">Agreement template ready</t>
  </si>
  <si>
    <t xml:space="preserve">Signed with primary supplier</t>
  </si>
  <si>
    <t xml:space="preserve">Key clauses: IP ownership of custom designs, quality guarantee, production timelines, confidentiality.</t>
  </si>
  <si>
    <t xml:space="preserve">8D.02</t>
  </si>
  <si>
    <t xml:space="preserve">Create influencer/ambassador agreement template: deliverables, usage rights, disclosure requirements, compensation</t>
  </si>
  <si>
    <t xml:space="preserve">Ready for use</t>
  </si>
  <si>
    <t xml:space="preserve">Must include: FTC disclosure requirement (#ad or #sponsored), content usage rights, exclusivity terms.</t>
  </si>
  <si>
    <t xml:space="preserve">Influencer agreement</t>
  </si>
  <si>
    <t xml:space="preserve">8D.03</t>
  </si>
  <si>
    <t xml:space="preserve">Understand FTC endorsement guidelines: all paid/gifted product must be disclosed in influencer content</t>
  </si>
  <si>
    <t xml:space="preserve">FTC guidelines understood</t>
  </si>
  <si>
    <t xml:space="preserve">Brief created for all partners</t>
  </si>
  <si>
    <t xml:space="preserve">FTC requires clear disclosure: #ad or #sponsored visible in post. Non-compliance = fines for both brand and influencer.</t>
  </si>
  <si>
    <t xml:space="preserve">FTC compliance brief</t>
  </si>
  <si>
    <t xml:space="preserve">8D.04</t>
  </si>
  <si>
    <t xml:space="preserve">Create website terms of use and customer agreement covering: limitation of liability, dispute resolution, governing law</t>
  </si>
  <si>
    <t xml:space="preserve">Wk 8–10</t>
  </si>
  <si>
    <t xml:space="preserve">Terms created</t>
  </si>
  <si>
    <t xml:space="preserve">Published on website</t>
  </si>
  <si>
    <t xml:space="preserve">Start with Shopify template and customize. For a bootstrapped brand, perfect legal docs &lt; good legal docs now.</t>
  </si>
  <si>
    <t xml:space="preserve">Terms of use</t>
  </si>
  <si>
    <t xml:space="preserve">P9: CUSTOMER EXPERIENCE &amp; RETENTION  |  Weeks 12–Ongoing  |  4 Subprojects  |  18 Tasks</t>
  </si>
  <si>
    <t xml:space="preserve">9A: Customer Support Infrastructure (Wk 12–14) — 5 tasks</t>
  </si>
  <si>
    <t xml:space="preserve">9A.01</t>
  </si>
  <si>
    <t xml:space="preserve">9A</t>
  </si>
  <si>
    <t xml:space="preserve">Set up support email (support@yourbrand.com) with auto-responder promising &lt;24hr response time</t>
  </si>
  <si>
    <t xml:space="preserve">Support email active</t>
  </si>
  <si>
    <t xml:space="preserve">Auto-response working</t>
  </si>
  <si>
    <t xml:space="preserve">Founder handles all support directly for first 6 months. This is feature, not bug — you learn directly from customers.</t>
  </si>
  <si>
    <t xml:space="preserve">Support email</t>
  </si>
  <si>
    <t xml:space="preserve">9A.02</t>
  </si>
  <si>
    <t xml:space="preserve">Create 20 support response templates: shipping inquiries, sizing help, returns, product care, wholesale inquiries</t>
  </si>
  <si>
    <t xml:space="preserve">Templates created</t>
  </si>
  <si>
    <t xml:space="preserve">20+ templates ready</t>
  </si>
  <si>
    <t xml:space="preserve">Templates save time. Personalize each one before sending — never send robotic copy-paste responses.</t>
  </si>
  <si>
    <t xml:space="preserve">Template library</t>
  </si>
  <si>
    <t xml:space="preserve">9A.03</t>
  </si>
  <si>
    <t xml:space="preserve">Define and publish returns/exchange policy: 30-day no-questions-asked return for unused product</t>
  </si>
  <si>
    <t xml:space="preserve">Returns policy live</t>
  </si>
  <si>
    <t xml:space="preserve">Policy published on site</t>
  </si>
  <si>
    <t xml:space="preserve">Generous return policy increases conversion rate more than it increases returns. Target: &lt;5% return rate for running belts.</t>
  </si>
  <si>
    <t xml:space="preserve">Returns policy</t>
  </si>
  <si>
    <t xml:space="preserve">9A.04</t>
  </si>
  <si>
    <t xml:space="preserve">Set up live chat on Shopify: Tidio (free tier) or Shopify Inbox for real-time customer questions</t>
  </si>
  <si>
    <t xml:space="preserve">Live chat active</t>
  </si>
  <si>
    <t xml:space="preserve">Chat widget installed</t>
  </si>
  <si>
    <t xml:space="preserve">Live chat increases conversion 10–15%. Set "away" hours for when you can't respond. Auto-message to set expectations.</t>
  </si>
  <si>
    <t xml:space="preserve">Chat widget</t>
  </si>
  <si>
    <t xml:space="preserve">9A.05</t>
  </si>
  <si>
    <t xml:space="preserve">Create size recommendation tool or quiz: help customers choose correct size before purchase (reduces returns)</t>
  </si>
  <si>
    <t xml:space="preserve">Size tool live</t>
  </si>
  <si>
    <t xml:space="preserve">Tool on product page</t>
  </si>
  <si>
    <t xml:space="preserve">Simple: "Measure your waist at belly button. If 28-32 choose S, 32-36 choose M..." with photos. Reduces size-related returns 50%.</t>
  </si>
  <si>
    <t xml:space="preserve">Size tool</t>
  </si>
  <si>
    <t xml:space="preserve">9B: Review &amp; Feedback Collection (Wk 14–Ongoing) — 4 tasks</t>
  </si>
  <si>
    <t xml:space="preserve">9B.01</t>
  </si>
  <si>
    <t xml:space="preserve">9B</t>
  </si>
  <si>
    <t xml:space="preserve">Install Shopify review app: Judge.me (free tier) or Loox (photo reviews, $9.99/mo)</t>
  </si>
  <si>
    <t xml:space="preserve">Review app installed</t>
  </si>
  <si>
    <t xml:space="preserve">App active on product page</t>
  </si>
  <si>
    <t xml:space="preserve">Judge.me free tier is excellent. Auto-sends review request emails. Displays reviews with photos on product page.</t>
  </si>
  <si>
    <t xml:space="preserve">Review app</t>
  </si>
  <si>
    <t xml:space="preserve">9B.02</t>
  </si>
  <si>
    <t xml:space="preserve">Set up automated review request: email at day 14 post-delivery with one-click star rating + photo upload</t>
  </si>
  <si>
    <t xml:space="preserve">Review requests automated</t>
  </si>
  <si>
    <t xml:space="preserve">Emails sending automatically</t>
  </si>
  <si>
    <t xml:space="preserve">Offer 10% off next order for photo review. Photo reviews convert 3x better than text-only.</t>
  </si>
  <si>
    <t xml:space="preserve">Review automation</t>
  </si>
  <si>
    <t xml:space="preserve">9B.03</t>
  </si>
  <si>
    <t xml:space="preserve">Create feedback collection system beyond reviews: quarterly customer survey, post-support satisfaction check</t>
  </si>
  <si>
    <t xml:space="preserve">Feedback system active</t>
  </si>
  <si>
    <t xml:space="preserve">Multiple feedback channels</t>
  </si>
  <si>
    <t xml:space="preserve">Google Forms survey every 3 months: "What do you love?", "What would you change?", "What other products do you want?"</t>
  </si>
  <si>
    <t xml:space="preserve">Feedback system</t>
  </si>
  <si>
    <t xml:space="preserve">9B.04</t>
  </si>
  <si>
    <t xml:space="preserve">Respond to every review within 48 hours: thank positive reviewers, address negative reviews with empathy + solution</t>
  </si>
  <si>
    <t xml:space="preserve">Ongoing</t>
  </si>
  <si>
    <t xml:space="preserve">Response habit established</t>
  </si>
  <si>
    <t xml:space="preserve">100% response rate</t>
  </si>
  <si>
    <t xml:space="preserve">How you handle negative reviews defines your brand. Always offer to make it right. Others read your responses.</t>
  </si>
  <si>
    <t xml:space="preserve">Response protocol</t>
  </si>
  <si>
    <t xml:space="preserve">9C: Customer Loyalty &amp; Retention (Wk 16–Ongoing) — 5 tasks</t>
  </si>
  <si>
    <t xml:space="preserve">9C.01</t>
  </si>
  <si>
    <t xml:space="preserve">9C</t>
  </si>
  <si>
    <t xml:space="preserve">Set up referral program: "Give $5, Get $5" using ReferralCandy or Smile.io free tier</t>
  </si>
  <si>
    <t xml:space="preserve">App installed and active</t>
  </si>
  <si>
    <t xml:space="preserve">Runners recommend gear constantly. A formal referral program captures this behavior and rewards it.</t>
  </si>
  <si>
    <t xml:space="preserve">9C.02</t>
  </si>
  <si>
    <t xml:space="preserve">Create VIP email segment for repeat customers: early access to new products, exclusive discounts, birthday offers</t>
  </si>
  <si>
    <t xml:space="preserve">VIP segment active</t>
  </si>
  <si>
    <t xml:space="preserve">Segment defined in Klaviyo</t>
  </si>
  <si>
    <t xml:space="preserve">Repeat customers spend 67% more than new customers. Invest disproportionately in retention.</t>
  </si>
  <si>
    <t xml:space="preserve">VIP program</t>
  </si>
  <si>
    <t xml:space="preserve">9C.03</t>
  </si>
  <si>
    <t xml:space="preserve">Design cross-sell strategy: complementary products (running socks, reflective gear) or bundle offers</t>
  </si>
  <si>
    <t xml:space="preserve">Cross-sell strategy defined</t>
  </si>
  <si>
    <t xml:space="preserve">Eventually you'll expand product line. For now, consider bundling belt + running-related partner products.</t>
  </si>
  <si>
    <t xml:space="preserve">Cross-sell plan</t>
  </si>
  <si>
    <t xml:space="preserve">9C.04</t>
  </si>
  <si>
    <t xml:space="preserve">Track Net Promoter Score (NPS) quarterly: "How likely are you to recommend us to a friend? (0–10)"</t>
  </si>
  <si>
    <t xml:space="preserve">NPS tracking active</t>
  </si>
  <si>
    <t xml:space="preserve">First NPS score collected</t>
  </si>
  <si>
    <t xml:space="preserve">NPS &gt; 50 = excellent for D2C. Running brands should aim for 60+ given passionate customer base.</t>
  </si>
  <si>
    <t xml:space="preserve">NPS tracker</t>
  </si>
  <si>
    <t xml:space="preserve">9C.05</t>
  </si>
  <si>
    <t xml:space="preserve">Analyze customer lifetime value (LTV): track repeat purchase rate, time between purchases, average spend</t>
  </si>
  <si>
    <t xml:space="preserve">Month 6+</t>
  </si>
  <si>
    <t xml:space="preserve">LTV analysis started</t>
  </si>
  <si>
    <t xml:space="preserve">LTV calculated</t>
  </si>
  <si>
    <t xml:space="preserve">Target: LTV:CAC ratio &gt; 3:1. If LTV is low, focus on retention and product expansion before acquiring more customers.</t>
  </si>
  <si>
    <t xml:space="preserve">LTV analysis</t>
  </si>
  <si>
    <t xml:space="preserve">9D: Returns, Exchanges &amp; Quality Loop (Wk 14–Ongoing) — 4 tasks</t>
  </si>
  <si>
    <t xml:space="preserve">9D.01</t>
  </si>
  <si>
    <t xml:space="preserve">9D</t>
  </si>
  <si>
    <t xml:space="preserve">Set up returns management: self-service portal (Shopify free returns) or manual process with prepaid labels</t>
  </si>
  <si>
    <t xml:space="preserve">Returns process live</t>
  </si>
  <si>
    <t xml:space="preserve">Customers can initiate returns</t>
  </si>
  <si>
    <t xml:space="preserve">Start manual (email support@). Upgrade to self-service portal once volume exceeds 5+ returns/month.</t>
  </si>
  <si>
    <t xml:space="preserve">Returns process</t>
  </si>
  <si>
    <t xml:space="preserve">9D.02</t>
  </si>
  <si>
    <t xml:space="preserve">Track return reasons: categorize every return (wrong size, didn't like, defect, changed mind) for product improvement</t>
  </si>
  <si>
    <t xml:space="preserve">Return tracking active</t>
  </si>
  <si>
    <t xml:space="preserve">All returns categorized</t>
  </si>
  <si>
    <t xml:space="preserve">If &gt;30% of returns are sizing: fix your size guide. If defects: contact supplier. Data drives improvement.</t>
  </si>
  <si>
    <t xml:space="preserve">Return reason tracker</t>
  </si>
  <si>
    <t xml:space="preserve">9D.03</t>
  </si>
  <si>
    <t xml:space="preserve">Create exchange-first process: offer exchange before refund to save the sale and improve customer experience</t>
  </si>
  <si>
    <t xml:space="preserve">Exchange process active</t>
  </si>
  <si>
    <t xml:space="preserve">Exchange option offered first</t>
  </si>
  <si>
    <t xml:space="preserve">"Wrong size? We'll send the right size free and you can return the original at your convenience." Saves ~40% of returns.</t>
  </si>
  <si>
    <t xml:space="preserve">Exchange process</t>
  </si>
  <si>
    <t xml:space="preserve">9D.04</t>
  </si>
  <si>
    <t xml:space="preserve">Feed return/complaint data back to product development: monthly summary of top 3 product issues to address in v2</t>
  </si>
  <si>
    <t xml:space="preserve">Monthly</t>
  </si>
  <si>
    <t xml:space="preserve">Feedback loop active</t>
  </si>
  <si>
    <t xml:space="preserve">Monthly product issue report</t>
  </si>
  <si>
    <t xml:space="preserve">This closes the loop between customer experience and product improvement. Essential for v2 development.</t>
  </si>
  <si>
    <t xml:space="preserve">Product issue reports</t>
  </si>
  <si>
    <t xml:space="preserve">P10: SUPPLY CHAIN &amp; FULFILLMENT  |  Weeks 10–Ongoing  |  4 Subprojects  |  16 Tasks</t>
  </si>
  <si>
    <t xml:space="preserve">10A: Fulfillment Operations (Wk 10–14) — 4 tasks</t>
  </si>
  <si>
    <t xml:space="preserve">10A.01</t>
  </si>
  <si>
    <t xml:space="preserve">10A</t>
  </si>
  <si>
    <t xml:space="preserve">Set up home fulfillment station: packing table, label printer (Rollo $200 or use Shopify shipping labels), supplies</t>
  </si>
  <si>
    <t xml:space="preserve">Fulfillment station ready</t>
  </si>
  <si>
    <t xml:space="preserve">Can pack 20+ orders/day</t>
  </si>
  <si>
    <t xml:space="preserve">Start with home fulfillment for first 300 units. Move to 3PL when exceeding 5+ orders/day consistently.</t>
  </si>
  <si>
    <t xml:space="preserve">Station setup</t>
  </si>
  <si>
    <t xml:space="preserve">10A.02</t>
  </si>
  <si>
    <t xml:space="preserve">Configure Shopify Shipping: generate labels, automate tracking emails, set up shipping carriers</t>
  </si>
  <si>
    <t xml:space="preserve">Test labels printed successfully</t>
  </si>
  <si>
    <t xml:space="preserve">Shopify Shipping gives discounted USPS/DHL rates. For international: DHL eCommerce or local postal service.</t>
  </si>
  <si>
    <t xml:space="preserve">Shipping config</t>
  </si>
  <si>
    <t xml:space="preserve">10A.03</t>
  </si>
  <si>
    <t xml:space="preserve">Create SOP for order fulfillment: receive order → pick → quality check → pack → label → ship → update tracking</t>
  </si>
  <si>
    <t xml:space="preserve">SOP documented</t>
  </si>
  <si>
    <t xml:space="preserve">Written process</t>
  </si>
  <si>
    <t xml:space="preserve">Consistency matters even when you're the only person. Document now so it's easy to delegate later.</t>
  </si>
  <si>
    <t xml:space="preserve">Fulfillment SOP</t>
  </si>
  <si>
    <t xml:space="preserve">10A.04</t>
  </si>
  <si>
    <t xml:space="preserve">Set fulfillment targets: same-day for orders before 2 PM, next-day for afternoon orders</t>
  </si>
  <si>
    <t xml:space="preserve">Targets set</t>
  </si>
  <si>
    <t xml:space="preserve">Fulfillment SLA defined</t>
  </si>
  <si>
    <t xml:space="preserve">Fast shipping = positive reviews = more sales. Amazon has set the expectation. Beat it with handwritten notes.</t>
  </si>
  <si>
    <t xml:space="preserve">SLA document</t>
  </si>
  <si>
    <t xml:space="preserve">10B: International Shipping (Wk 12–16) — 4 tasks</t>
  </si>
  <si>
    <t xml:space="preserve">10B.01</t>
  </si>
  <si>
    <t xml:space="preserve">10B</t>
  </si>
  <si>
    <t xml:space="preserve">Research and select international shipping solution: DHL eCommerce, Shopify Markets, or local postal service</t>
  </si>
  <si>
    <t xml:space="preserve">Solution selected</t>
  </si>
  <si>
    <t xml:space="preserve">Carrier chosen with rates</t>
  </si>
  <si>
    <t xml:space="preserve">DHL eCommerce: best balance of cost and reliability for small parcels globally. Shopify Markets handles duties/taxes.</t>
  </si>
  <si>
    <t xml:space="preserve">Carrier selection</t>
  </si>
  <si>
    <t xml:space="preserve">10B.02</t>
  </si>
  <si>
    <t xml:space="preserve">Set up customs documentation: commercial invoices, HS codes (4202.92 for running belts), country of origin labels</t>
  </si>
  <si>
    <t xml:space="preserve">Customs docs ready</t>
  </si>
  <si>
    <t xml:space="preserve">Most shipping labels auto-generate customs forms. Ensure product value + HS code are correct to avoid delays.</t>
  </si>
  <si>
    <t xml:space="preserve">Customs templates</t>
  </si>
  <si>
    <t xml:space="preserve">10B.03</t>
  </si>
  <si>
    <t xml:space="preserve">Test international shipments: send 1 test package each to US, UK, Australia, Canada — track delivery time and experience</t>
  </si>
  <si>
    <t xml:space="preserve">Test shipments delivered</t>
  </si>
  <si>
    <t xml:space="preserve">4 test deliveries tracked</t>
  </si>
  <si>
    <t xml:space="preserve">Send to friends/family in target markets. Track: delivery time, duties charged to recipient, packaging condition.</t>
  </si>
  <si>
    <t xml:space="preserve">Test delivery results</t>
  </si>
  <si>
    <t xml:space="preserve">10B.04</t>
  </si>
  <si>
    <t xml:space="preserve">Consider 3PL for US fulfillment if based outside US: ShipBob, ShipHero, or Deliverr — get quotes for 100+ orders/mo</t>
  </si>
  <si>
    <t xml:space="preserve">US 3PL evaluated</t>
  </si>
  <si>
    <t xml:space="preserve">Quotes received</t>
  </si>
  <si>
    <t xml:space="preserve">Makes sense when US orders exceed 50/month. Cost: $3–5/order + storage. Provides faster US delivery.</t>
  </si>
  <si>
    <t xml:space="preserve">3PL evaluation</t>
  </si>
  <si>
    <t xml:space="preserve">10C: Inventory Management (Wk 14–Ongoing) — 4 tasks</t>
  </si>
  <si>
    <t xml:space="preserve">10C.01</t>
  </si>
  <si>
    <t xml:space="preserve">10C</t>
  </si>
  <si>
    <t xml:space="preserve">Implement SKU naming system: [COLOR]-[SIZE]-[VERSION] (e.g., BLK-M-V1, GRN-L-V1)</t>
  </si>
  <si>
    <t xml:space="preserve">SKU system implemented</t>
  </si>
  <si>
    <t xml:space="preserve">All products have SKUs</t>
  </si>
  <si>
    <t xml:space="preserve">Consistent SKUs prevent confusion as you add colors, sizes, and product versions. Set convention early.</t>
  </si>
  <si>
    <t xml:space="preserve">SKU system</t>
  </si>
  <si>
    <t xml:space="preserve">10C.02</t>
  </si>
  <si>
    <t xml:space="preserve">Set up weekly inventory count: physical count reconciled with Shopify inventory every Sunday</t>
  </si>
  <si>
    <t xml:space="preserve">Weekly counts active</t>
  </si>
  <si>
    <t xml:space="preserve">Counts match Shopify +/- 2%</t>
  </si>
  <si>
    <t xml:space="preserve">Discrepancies happen (shipping errors, returns, samples). Weekly counts prevent surprises.</t>
  </si>
  <si>
    <t xml:space="preserve">Inventory log</t>
  </si>
  <si>
    <t xml:space="preserve">10C.03</t>
  </si>
  <si>
    <t xml:space="preserve">Define safety stock levels: minimum inventory per SKU to maintain while reorder is in transit</t>
  </si>
  <si>
    <t xml:space="preserve">Safety stock defined</t>
  </si>
  <si>
    <t xml:space="preserve">Per-SKU minimums set</t>
  </si>
  <si>
    <t xml:space="preserve">Rule of thumb: safety stock = 2 weeks of sales per SKU. Adjust based on actual velocity data.</t>
  </si>
  <si>
    <t xml:space="preserve">Safety stock levels</t>
  </si>
  <si>
    <t xml:space="preserve">10C.04</t>
  </si>
  <si>
    <t xml:space="preserve">Create reorder calendar aligned with production lead times and seasonal demand peaks (Jan, Mar, Aug)</t>
  </si>
  <si>
    <t xml:space="preserve">Reorder calendar created</t>
  </si>
  <si>
    <t xml:space="preserve">Calendar with trigger dates</t>
  </si>
  <si>
    <t xml:space="preserve">Plan reorders 6–8 weeks before anticipated demand spikes. Marathon season prep starts in January.</t>
  </si>
  <si>
    <t xml:space="preserve">10D: Packaging Optimization (Wk 16–Ongoing) — 4 tasks</t>
  </si>
  <si>
    <t xml:space="preserve">10D.01</t>
  </si>
  <si>
    <t xml:space="preserve">10D</t>
  </si>
  <si>
    <t xml:space="preserve">Analyze packaging costs per order: mailer + insert card + tape + label = target &lt;$1.50/order</t>
  </si>
  <si>
    <t xml:space="preserve">Packaging costs tracked</t>
  </si>
  <si>
    <t xml:space="preserve">Per-order cost known</t>
  </si>
  <si>
    <t xml:space="preserve">Packaging adds up. Optimize: bulk-order mailers (500+), use Canva for insert cards (print at home or bulk order).</t>
  </si>
  <si>
    <t xml:space="preserve">Packaging cost analysis</t>
  </si>
  <si>
    <t xml:space="preserve">10D.02</t>
  </si>
  <si>
    <t xml:space="preserve">Design v2 unboxing experience based on customer feedback: what impressed them, what felt cheap, what was missing</t>
  </si>
  <si>
    <t xml:space="preserve">V2 packaging designed</t>
  </si>
  <si>
    <t xml:space="preserve">Updated design files</t>
  </si>
  <si>
    <t xml:space="preserve">Unboxing is a marketing moment. Include: insert card, size guide, product care card, brand sticker.</t>
  </si>
  <si>
    <t xml:space="preserve">V2 packaging design</t>
  </si>
  <si>
    <t xml:space="preserve">10D.03</t>
  </si>
  <si>
    <t xml:space="preserve">Evaluate eco-friendly packaging options: recycled mailers, compostable bags, FSC-certified paper</t>
  </si>
  <si>
    <t xml:space="preserve">Eco options evaluated</t>
  </si>
  <si>
    <t xml:space="preserve">Decision made</t>
  </si>
  <si>
    <t xml:space="preserve">If eco-friendly is your brand angle, packaging must match the message. Recyclable kraft mailers cost ~$0.05 more.</t>
  </si>
  <si>
    <t xml:space="preserve">Eco packaging evaluation</t>
  </si>
  <si>
    <t xml:space="preserve">10D.04</t>
  </si>
  <si>
    <t xml:space="preserve">Source branded thank-you stickers and branded tape for premium feel at minimal cost</t>
  </si>
  <si>
    <t xml:space="preserve">Branded materials ordered</t>
  </si>
  <si>
    <t xml:space="preserve">Materials in stock</t>
  </si>
  <si>
    <t xml:space="preserve">Sticker Mule: 50 custom stickers for $25. Custom tape: $30/roll. Small details = big brand impression.</t>
  </si>
  <si>
    <t xml:space="preserve">Branded materials</t>
  </si>
  <si>
    <t xml:space="preserve">P11: GROWTH &amp; SCALING ROADMAP  |  Months 6–18  |  4 Subprojects  |  18 Tasks</t>
  </si>
  <si>
    <t xml:space="preserve">11A: Product Line Expansion (Mo 6–12) — 5 tasks</t>
  </si>
  <si>
    <t xml:space="preserve">11A.01</t>
  </si>
  <si>
    <t xml:space="preserve">11A</t>
  </si>
  <si>
    <t xml:space="preserve">Analyze customer feedback and sales data to identify #1 most-requested product improvement or new product</t>
  </si>
  <si>
    <t xml:space="preserve">Mo 6</t>
  </si>
  <si>
    <t xml:space="preserve">Data analysis complete</t>
  </si>
  <si>
    <t xml:space="preserve">Top request identified</t>
  </si>
  <si>
    <t xml:space="preserve">Let customers tell you what to build next. Don't guess. Survey + review analysis + support ticket themes.</t>
  </si>
  <si>
    <t xml:space="preserve">Product request analysis</t>
  </si>
  <si>
    <t xml:space="preserve">11A.02</t>
  </si>
  <si>
    <t xml:space="preserve">Develop v2 of running belt incorporating all customer feedback from v1 (sizing, materials, features)</t>
  </si>
  <si>
    <t xml:space="preserve">Mo 7–9</t>
  </si>
  <si>
    <t xml:space="preserve">V2 spec created</t>
  </si>
  <si>
    <t xml:space="preserve">Spec sent to supplier</t>
  </si>
  <si>
    <t xml:space="preserve">V2 should address top 3 complaints from v1 reviews. This is your competitive advantage over competitors who don't iterate.</t>
  </si>
  <si>
    <t xml:space="preserve">V2 product spec</t>
  </si>
  <si>
    <t xml:space="preserve">11A.03</t>
  </si>
  <si>
    <t xml:space="preserve">Explore complementary product: running flask pocket, reflective add-on, women-specific variant, hydration version</t>
  </si>
  <si>
    <t xml:space="preserve">Mo 8–10</t>
  </si>
  <si>
    <t xml:space="preserve">New product evaluated</t>
  </si>
  <si>
    <t xml:space="preserve">Go/no-go decision</t>
  </si>
  <si>
    <t xml:space="preserve">Naked expanded: bands → vests → shoes. SPIbelt: belts → medical → eco. What's your natural expansion?</t>
  </si>
  <si>
    <t xml:space="preserve">Product expansion plan</t>
  </si>
  <si>
    <t xml:space="preserve">11A.04</t>
  </si>
  <si>
    <t xml:space="preserve">If expanding: prototype, test, and validate new product following the same P2 process</t>
  </si>
  <si>
    <t xml:space="preserve">Mo 9–12</t>
  </si>
  <si>
    <t xml:space="preserve">New product validated</t>
  </si>
  <si>
    <t xml:space="preserve">Customer testing complete</t>
  </si>
  <si>
    <t xml:space="preserve">Don't skip validation for product #2. Apply everything you learned from product #1.</t>
  </si>
  <si>
    <t xml:space="preserve">New product validation</t>
  </si>
  <si>
    <t xml:space="preserve">11A.05</t>
  </si>
  <si>
    <t xml:space="preserve">Create product bundle: belt + complementary item at 15% discount vs buying separately</t>
  </si>
  <si>
    <t xml:space="preserve">Mo 10</t>
  </si>
  <si>
    <t xml:space="preserve">Bundle created</t>
  </si>
  <si>
    <t xml:space="preserve">Bundle live on Shopify</t>
  </si>
  <si>
    <t xml:space="preserve">Bundles increase AOV by 20–30%. Even bundling 2 belt colors ("trail pack") can work.</t>
  </si>
  <si>
    <t xml:space="preserve">Bundle listing</t>
  </si>
  <si>
    <t xml:space="preserve">11B: Channel Expansion (Mo 6–12) — 5 tasks</t>
  </si>
  <si>
    <t xml:space="preserve">11B.01</t>
  </si>
  <si>
    <t xml:space="preserve">11B</t>
  </si>
  <si>
    <t xml:space="preserve">Launch on Amazon (if not already) following P4E process: listing, A+ content, Vine reviews, PPC</t>
  </si>
  <si>
    <t xml:space="preserve">Mo 6–7</t>
  </si>
  <si>
    <t xml:space="preserve">Amazon listing live</t>
  </si>
  <si>
    <t xml:space="preserve">First sales on Amazon</t>
  </si>
  <si>
    <t xml:space="preserve">Amazon adds a discovery channel. Manage brand perception by maintaining premium pricing close to D2C.</t>
  </si>
  <si>
    <t xml:space="preserve">Amazon launch</t>
  </si>
  <si>
    <t xml:space="preserve">11B.02</t>
  </si>
  <si>
    <t xml:space="preserve">Research wholesale opportunities: 5 specialty running stores in your primary market</t>
  </si>
  <si>
    <t xml:space="preserve">Mo 8–9</t>
  </si>
  <si>
    <t xml:space="preserve">Wholesale prospects identified</t>
  </si>
  <si>
    <t xml:space="preserve">5+ stores contacted</t>
  </si>
  <si>
    <t xml:space="preserve">Wholesale pricing: 50% off retail (keystone markup). Your belt at $35 retail = $17.50 wholesale. Margin still works at $6 COGS.</t>
  </si>
  <si>
    <t xml:space="preserve">Wholesale prospect list</t>
  </si>
  <si>
    <t xml:space="preserve">11B.03</t>
  </si>
  <si>
    <t xml:space="preserve">Create wholesale one-sheet: product info, wholesale pricing, terms, MOQ, imagery for store use</t>
  </si>
  <si>
    <t xml:space="preserve">Mo 9</t>
  </si>
  <si>
    <t xml:space="preserve">Wholesale sheet created</t>
  </si>
  <si>
    <t xml:space="preserve">Professional 1-pager ready</t>
  </si>
  <si>
    <t xml:space="preserve">Include: product photos, wholesale pricing (tiered), suggested retail, shipping terms, return policy.</t>
  </si>
  <si>
    <t xml:space="preserve">Wholesale one-sheet</t>
  </si>
  <si>
    <t xml:space="preserve">11B.04</t>
  </si>
  <si>
    <t xml:space="preserve">Explore race expo opportunities: apply to 3–5 marathon expos as a vendor (SPIbelt's origin strategy)</t>
  </si>
  <si>
    <t xml:space="preserve">Expo applications submitted</t>
  </si>
  <si>
    <t xml:space="preserve">3–5 applications sent</t>
  </si>
  <si>
    <t xml:space="preserve">Expo booth: $500–1,500 for mid-size races. Direct access to 5,000–15,000 runners. High conversion rate.</t>
  </si>
  <si>
    <t xml:space="preserve">Expo applications</t>
  </si>
  <si>
    <t xml:space="preserve">11B.05</t>
  </si>
  <si>
    <t xml:space="preserve">Evaluate TikTok Shop and Instagram Shopping as additional sales channels</t>
  </si>
  <si>
    <t xml:space="preserve">Mo 10–12</t>
  </si>
  <si>
    <t xml:space="preserve">Social commerce evaluated</t>
  </si>
  <si>
    <t xml:space="preserve">TikTok Shop is growing fast for D2C brands. If your TikTok content performs well, this is a natural extension.</t>
  </si>
  <si>
    <t xml:space="preserve">Social commerce plan</t>
  </si>
  <si>
    <t xml:space="preserve">11C: International Expansion (Mo 9–18) — 4 tasks</t>
  </si>
  <si>
    <t xml:space="preserve">11C.01</t>
  </si>
  <si>
    <t xml:space="preserve">11C</t>
  </si>
  <si>
    <t xml:space="preserve">Analyze sales data by country: identify top 3 international markets by revenue</t>
  </si>
  <si>
    <t xml:space="preserve">Market analysis complete</t>
  </si>
  <si>
    <t xml:space="preserve">Top 3 markets identified</t>
  </si>
  <si>
    <t xml:space="preserve">Likely: US #1, UK #2, Australia/Canada #3. Use Shopify Analytics geographic data.</t>
  </si>
  <si>
    <t xml:space="preserve">Market ranking</t>
  </si>
  <si>
    <t xml:space="preserve">11C.02</t>
  </si>
  <si>
    <t xml:space="preserve">For top international market: set up localized shopping experience (currency, shipping, language if needed)</t>
  </si>
  <si>
    <t xml:space="preserve">Localization live</t>
  </si>
  <si>
    <t xml:space="preserve">Market-specific experience active</t>
  </si>
  <si>
    <t xml:space="preserve">Shopify Markets handles multi-currency, duties estimation, and local payment methods. Enable for top markets.</t>
  </si>
  <si>
    <t xml:space="preserve">Localization setup</t>
  </si>
  <si>
    <t xml:space="preserve">11C.03</t>
  </si>
  <si>
    <t xml:space="preserve">Explore regional fulfillment: 3PL in UK/EU and/or Australia to reduce international shipping time and cost</t>
  </si>
  <si>
    <t xml:space="preserve">Mo 12–15</t>
  </si>
  <si>
    <t xml:space="preserve">3PL evaluated</t>
  </si>
  <si>
    <t xml:space="preserve">Makes financial sense when shipping 30+ orders/month to a specific region. Ship bulk inventory to 3PL, they fulfill locally.</t>
  </si>
  <si>
    <t xml:space="preserve">11C.04</t>
  </si>
  <si>
    <t xml:space="preserve">Consider international Amazon marketplaces: Amazon UK, Amazon DE, Amazon AU for additional discovery</t>
  </si>
  <si>
    <t xml:space="preserve">Mo 15–18</t>
  </si>
  <si>
    <t xml:space="preserve">International Amazon evaluated</t>
  </si>
  <si>
    <t xml:space="preserve">Amazon Global Selling makes it relatively easy to list on international marketplaces. Start with UK.</t>
  </si>
  <si>
    <t xml:space="preserve">International Amazon plan</t>
  </si>
  <si>
    <t xml:space="preserve">11D: Team &amp; Operations Scaling (Mo 9–18) — 4 tasks</t>
  </si>
  <si>
    <t xml:space="preserve">11D.01</t>
  </si>
  <si>
    <t xml:space="preserve">11D</t>
  </si>
  <si>
    <t xml:space="preserve">Identify first hire/contractor needs: customer support VA, social media manager, or fulfillment help</t>
  </si>
  <si>
    <t xml:space="preserve">Hiring needs identified</t>
  </si>
  <si>
    <t xml:space="preserve">Priority roles listed</t>
  </si>
  <si>
    <t xml:space="preserve">First hire is usually: VA for customer support ($4–8/hr) or fulfillment help. Frees founder for growth tasks.</t>
  </si>
  <si>
    <t xml:space="preserve">Hiring plan</t>
  </si>
  <si>
    <t xml:space="preserve">11D.02</t>
  </si>
  <si>
    <t xml:space="preserve">Hire first virtual assistant or part-time contractor for highest-leverage delegation</t>
  </si>
  <si>
    <t xml:space="preserve">First hire made</t>
  </si>
  <si>
    <t xml:space="preserve">Person onboarded</t>
  </si>
  <si>
    <t xml:space="preserve">Upwork, OnlineJobs.ph, or local part-time help. Start with 10–20 hours/week. Document all processes first.</t>
  </si>
  <si>
    <t xml:space="preserve">VA onboarding</t>
  </si>
  <si>
    <t xml:space="preserve">11D.03</t>
  </si>
  <si>
    <t xml:space="preserve">Evaluate upgrading from self-fulfillment to 3PL when consistently exceeding 5 orders/day</t>
  </si>
  <si>
    <t xml:space="preserve">3PL decision made</t>
  </si>
  <si>
    <t xml:space="preserve">Cost comparison complete</t>
  </si>
  <si>
    <t xml:space="preserve">Break-even: self-fulfillment is cheaper below ~150 orders/month. Above that, 3PL saves time and scales better.</t>
  </si>
  <si>
    <t xml:space="preserve">11D.04</t>
  </si>
  <si>
    <t xml:space="preserve">Create SOPs for all recurring tasks: fulfillment, customer support, content creation, ad management, inventory</t>
  </si>
  <si>
    <t xml:space="preserve">Mo 12–18</t>
  </si>
  <si>
    <t xml:space="preserve">SOPs documented</t>
  </si>
  <si>
    <t xml:space="preserve">All key processes written down</t>
  </si>
  <si>
    <t xml:space="preserve">If you can't document it, you can't delegate it. SOPs are the foundation of scaling beyond a one-person operation.</t>
  </si>
  <si>
    <t xml:space="preserve">SOP library</t>
  </si>
  <si>
    <t xml:space="preserve">P12: SUSTAINABILITY &amp; BRAND PURPOSE  |  Weeks 4–Ongoing  |  3 Subprojects  |  12 Tasks</t>
  </si>
  <si>
    <t xml:space="preserve">12A: Sustainable Product Development (Wk 4–Ongoing) — 4 tasks</t>
  </si>
  <si>
    <t xml:space="preserve">12A.01</t>
  </si>
  <si>
    <t xml:space="preserve">12A</t>
  </si>
  <si>
    <t xml:space="preserve">Research sustainable materials: recycled polyester (rPET), recycled nylon (ECONYL), organic cotton blends, PFC-free DWR</t>
  </si>
  <si>
    <t xml:space="preserve">Wk 4–6</t>
  </si>
  <si>
    <t xml:space="preserve">Material options documented</t>
  </si>
  <si>
    <t xml:space="preserve">3+ sustainable alternatives identified</t>
  </si>
  <si>
    <t xml:space="preserve">rPET costs 10–20% more than virgin polyester. Worth it if sustainability is your brand angle. ECONYL (from fishing nets) is premium.</t>
  </si>
  <si>
    <t xml:space="preserve">Material research</t>
  </si>
  <si>
    <t xml:space="preserve">12A.02</t>
  </si>
  <si>
    <t xml:space="preserve">If eco is your angle: source supplier capable of providing recycled/sustainable fabrics with certifications (GRS, OEKO-TEX)</t>
  </si>
  <si>
    <t xml:space="preserve">Wk 6–10</t>
  </si>
  <si>
    <t xml:space="preserve">Eco supplier identified</t>
  </si>
  <si>
    <t xml:space="preserve">Supplier with certifications found</t>
  </si>
  <si>
    <t xml:space="preserve">Ask Alibaba suppliers specifically: "Do you offer GRS-certified recycled polyester?" Many do but don't advertise it.</t>
  </si>
  <si>
    <t xml:space="preserve">Eco supplier list</t>
  </si>
  <si>
    <t xml:space="preserve">12A.03</t>
  </si>
  <si>
    <t xml:space="preserve">Calculate carbon footprint of product lifecycle: manufacturing, shipping, use, end-of-life</t>
  </si>
  <si>
    <t xml:space="preserve">Mo 6–8</t>
  </si>
  <si>
    <t xml:space="preserve">Footprint estimated</t>
  </si>
  <si>
    <t xml:space="preserve">Per-unit carbon impact known</t>
  </si>
  <si>
    <t xml:space="preserve">Use free calculators (e.g., 2050 Materials). Even an estimate differentiates you from competitors who ignore this.</t>
  </si>
  <si>
    <t xml:space="preserve">Carbon footprint</t>
  </si>
  <si>
    <t xml:space="preserve">12A.04</t>
  </si>
  <si>
    <t xml:space="preserve">Design repair/refurbish program: take back used belts, refurbish, resell at discount (like Naked re[NEW])</t>
  </si>
  <si>
    <t xml:space="preserve">Mo 12+</t>
  </si>
  <si>
    <t xml:space="preserve">Program designed</t>
  </si>
  <si>
    <t xml:space="preserve">Naked's re[NEW] line sells refurbished bands at 50% off. Reduces waste, captures value, builds brand loyalty.</t>
  </si>
  <si>
    <t xml:space="preserve">Refurbish program</t>
  </si>
  <si>
    <t xml:space="preserve">12B: Brand Purpose &amp; Community Impact (Wk 8–Ongoing) — 4 tasks</t>
  </si>
  <si>
    <t xml:space="preserve">12B.01</t>
  </si>
  <si>
    <t xml:space="preserve">12B</t>
  </si>
  <si>
    <t xml:space="preserve">Define brand purpose beyond profit: what cause/community does your brand support? Running access? Environment? Inclusion?</t>
  </si>
  <si>
    <t xml:space="preserve">Purpose defined</t>
  </si>
  <si>
    <t xml:space="preserve">Written purpose statement</t>
  </si>
  <si>
    <t xml:space="preserve">Examples: Naked supports Native Women Running + DOVE Project. Janji donates % to clean water. SPIbelt supports medical communities.</t>
  </si>
  <si>
    <t xml:space="preserve">Purpose statement</t>
  </si>
  <si>
    <t xml:space="preserve">12B.02</t>
  </si>
  <si>
    <t xml:space="preserve">Identify 1–2 charitable partners or initiatives to support: 1% for the Planet, local running charity, inclusion programs</t>
  </si>
  <si>
    <t xml:space="preserve">Wk 10–14</t>
  </si>
  <si>
    <t xml:space="preserve">Partners identified</t>
  </si>
  <si>
    <t xml:space="preserve">1–2 partnerships defined</t>
  </si>
  <si>
    <t xml:space="preserve">1% for the Planet: donate 1% of revenue to environmental nonprofits. Powerful credibility signal for eco brands.</t>
  </si>
  <si>
    <t xml:space="preserve">Charity partnerships</t>
  </si>
  <si>
    <t xml:space="preserve">12B.03</t>
  </si>
  <si>
    <t xml:space="preserve">Communicate brand purpose authentically on website, packaging, and social media — don't greenwash</t>
  </si>
  <si>
    <t xml:space="preserve">Wk 14+</t>
  </si>
  <si>
    <t xml:space="preserve">Purpose communicated</t>
  </si>
  <si>
    <t xml:space="preserve">Purpose visible across touchpoints</t>
  </si>
  <si>
    <t xml:space="preserve">Only claim what you can prove. "We're working toward sustainability" is honest. "We're the most eco brand" without proof is greenwashing.</t>
  </si>
  <si>
    <t xml:space="preserve">Purpose messaging</t>
  </si>
  <si>
    <t xml:space="preserve">12B.04</t>
  </si>
  <si>
    <t xml:space="preserve">Track and report impact annually: materials saved, donations made, community supported, carbon reduced</t>
  </si>
  <si>
    <t xml:space="preserve">Year 1+</t>
  </si>
  <si>
    <t xml:space="preserve">Impact tracked</t>
  </si>
  <si>
    <t xml:space="preserve">Annual impact report</t>
  </si>
  <si>
    <t xml:space="preserve">Even small numbers matter when you're transparent. "In year 1, we diverted X kg of waste and donated $Y."</t>
  </si>
  <si>
    <t xml:space="preserve">Impact report</t>
  </si>
  <si>
    <t xml:space="preserve">12C: Long-Term Brand Building (Mo 6–Ongoing) — 4 tasks</t>
  </si>
  <si>
    <t xml:space="preserve">12C.01</t>
  </si>
  <si>
    <t xml:space="preserve">12C</t>
  </si>
  <si>
    <t xml:space="preserve">Develop 3-year brand vision: where do you want the brand to be in 2029? Product range, revenue, team, markets</t>
  </si>
  <si>
    <t xml:space="preserve">Vision documented</t>
  </si>
  <si>
    <t xml:space="preserve">Written 3-year vision</t>
  </si>
  <si>
    <t xml:space="preserve">Think big but plan realistically. Year 1: survive + validate. Year 2: grow + expand. Year 3: scale + dominate niche.</t>
  </si>
  <si>
    <t xml:space="preserve">3-year vision</t>
  </si>
  <si>
    <t xml:space="preserve">12C.02</t>
  </si>
  <si>
    <t xml:space="preserve">Plan annual brand milestones: product launches, event sponsorships, community milestones, revenue targets</t>
  </si>
  <si>
    <t xml:space="preserve">Milestones planned</t>
  </si>
  <si>
    <t xml:space="preserve">Annual calendar with targets</t>
  </si>
  <si>
    <t xml:space="preserve">Align with running calendar: Jan (resolution products), Spring (marathon gear), Fall (training season), Dec (gifting).</t>
  </si>
  <si>
    <t xml:space="preserve">Annual milestone plan</t>
  </si>
  <si>
    <t xml:space="preserve">12C.03</t>
  </si>
  <si>
    <t xml:space="preserve">Build relationships with 2–3 running publications for ongoing editorial coverage and credibility</t>
  </si>
  <si>
    <t xml:space="preserve">Mo 8–Ongoing</t>
  </si>
  <si>
    <t xml:space="preserve">Media relationships active</t>
  </si>
  <si>
    <t xml:space="preserve">2–3 regular contacts</t>
  </si>
  <si>
    <t xml:space="preserve">Consistent editorial coverage &gt; one-time PR blast. Become a source they trust for running gear insights.</t>
  </si>
  <si>
    <t xml:space="preserve">Media relationships</t>
  </si>
  <si>
    <t xml:space="preserve">12C.04</t>
  </si>
  <si>
    <t xml:space="preserve">Document lessons learned, processes, and playbooks that could help other bootstrapped D2C founders</t>
  </si>
  <si>
    <t xml:space="preserve">Playbook being built</t>
  </si>
  <si>
    <t xml:space="preserve">Key learnings documented</t>
  </si>
  <si>
    <t xml:space="preserve">Sharing your journey builds brand affinity and community. Many successful D2C founders became thought leaders.</t>
  </si>
  <si>
    <t xml:space="preserve">Brand playbook</t>
  </si>
  <si>
    <t xml:space="preserve">SUBPROJECT-LEVEL COMPLETION SUMMARY</t>
  </si>
  <si>
    <t xml:space="preserve">Track progress across all 13 projects and 56 subprojects  |  278 total tasks  |  Updated: March 2026</t>
  </si>
  <si>
    <t xml:space="preserve">#</t>
  </si>
  <si>
    <t xml:space="preserve">Subproject</t>
  </si>
  <si>
    <t xml:space="preserve">Tasks</t>
  </si>
  <si>
    <t xml:space="preserve">Done</t>
  </si>
  <si>
    <t xml:space="preserve">Key Deliverable</t>
  </si>
  <si>
    <t xml:space="preserve">P0: MARKET RESEARCH &amp; CONCEPT VALIDATION  (42 tasks)</t>
  </si>
  <si>
    <t xml:space="preserve">0A: Running Belt Competitive Intelligence (Wk 1–2)</t>
  </si>
  <si>
    <t xml:space="preserve">0B: Target Customer Research (Wk 1–3)</t>
  </si>
  <si>
    <t xml:space="preserve">0C: Product Concept Development (Wk 2–4)</t>
  </si>
  <si>
    <t xml:space="preserve">0D: Alibaba Supplier Scouting (Wk 3–5)</t>
  </si>
  <si>
    <t xml:space="preserve">0E: Financial Feasibility (Wk 3–5)</t>
  </si>
  <si>
    <t xml:space="preserve">0F: Niche Validation &amp; Positioning (Wk 4–6)</t>
  </si>
  <si>
    <t xml:space="preserve">0G: Competitive Intelligence Deep Dives (Wk 2–4)</t>
  </si>
  <si>
    <t xml:space="preserve">P1: BRAND DEVELOPMENT &amp; IDENTITY  (28 tasks)</t>
  </si>
  <si>
    <t xml:space="preserve">1A: Brand Naming &amp; Trademark (Wk 4–6)</t>
  </si>
  <si>
    <t xml:space="preserve">1B: Visual Identity &amp; Logo (Wk 5–7)</t>
  </si>
  <si>
    <t xml:space="preserve">1C: Brand Story &amp; Messaging (Wk 5–7)</t>
  </si>
  <si>
    <t xml:space="preserve">1D: Brand Photography &amp; Visual Assets (Wk 6–8)</t>
  </si>
  <si>
    <t xml:space="preserve">1E: Pre-Launch Community Building (Wk 5–8)</t>
  </si>
  <si>
    <t xml:space="preserve">P2: PRODUCT DESIGN &amp; ENGINEERING  (27 tasks)</t>
  </si>
  <si>
    <t xml:space="preserve">2A: Product Architecture &amp; Specifications (Wk 4–6)</t>
  </si>
  <si>
    <t xml:space="preserve">2B: Prototyping &amp; Sample Development (Wk 5–8)</t>
  </si>
  <si>
    <t xml:space="preserve">2C: Packaging &amp; Unboxing Design (Wk 7–9)</t>
  </si>
  <si>
    <t xml:space="preserve">2D: Size Guide &amp; Product Documentation (Wk 8–9)</t>
  </si>
  <si>
    <t xml:space="preserve">2E: Quality Standards &amp; Testing Protocols (Wk 8–10)</t>
  </si>
  <si>
    <t xml:space="preserve">P3: MANUFACTURING &amp; FIRST PRODUCTION RUN  (22 tasks)</t>
  </si>
  <si>
    <t xml:space="preserve">3A: Production Order &amp; Payment (Wk 8–10)</t>
  </si>
  <si>
    <t xml:space="preserve">3B: Quality Control &amp; Inspection (Wk 12–13)</t>
  </si>
  <si>
    <t xml:space="preserve">3C: Shipping &amp; Logistics (Wk 12–14)</t>
  </si>
  <si>
    <t xml:space="preserve">3D: Reorder Planning (Wk 13–14)</t>
  </si>
  <si>
    <t xml:space="preserve">P4: DIGITAL INFRASTRUCTURE &amp; E-COMMERCE  (28 tasks)</t>
  </si>
  <si>
    <t xml:space="preserve">4A: Shopify Store Setup (Wk 6–9)</t>
  </si>
  <si>
    <t xml:space="preserve">4B: Email Marketing Setup (Wk 7–10)</t>
  </si>
  <si>
    <t xml:space="preserve">4C: Analytics &amp; Tracking (Wk 7–9)</t>
  </si>
  <si>
    <t xml:space="preserve">4D: SEO &amp; Content Foundation (Wk 8–12)</t>
  </si>
  <si>
    <t xml:space="preserve">4E: Amazon Preparation (Wk 10–12)</t>
  </si>
  <si>
    <t xml:space="preserve">P5: CONTENT, COMMUNITY &amp; INFLUENCER MARKETING  (26 tasks)</t>
  </si>
  <si>
    <t xml:space="preserve">5A: Influencer Seeding Program (Wk 8–14)</t>
  </si>
  <si>
    <t xml:space="preserve">5B: Content Marketing &amp; Social Media (Wk 8–Ongoing)</t>
  </si>
  <si>
    <t xml:space="preserve">5C: Running Community &amp; Events (Wk 10–18)</t>
  </si>
  <si>
    <t xml:space="preserve">5D: PR &amp; Media Outreach (Wk 12–18)</t>
  </si>
  <si>
    <t xml:space="preserve">5E: Referral &amp; Ambassador Program (Wk 14–20)</t>
  </si>
  <si>
    <t xml:space="preserve">P6: LAUNCH EXECUTION &amp; PAID ACQUISITION  (25 tasks)</t>
  </si>
  <si>
    <t xml:space="preserve">6A: Pre-Launch Campaign (Wk 12–14)</t>
  </si>
  <si>
    <t xml:space="preserve">6B: Launch Week Execution (Wk 14–15)</t>
  </si>
  <si>
    <t xml:space="preserve">6C: Paid Advertising</t>
  </si>
  <si>
    <t xml:space="preserve">6D: Paid Advertising</t>
  </si>
  <si>
    <t xml:space="preserve">6E: Launch Metrics &amp; Optimization (Wk 16–20)</t>
  </si>
  <si>
    <t xml:space="preserve">P7: FINANCIAL OPERATIONS &amp; CASH FLOW  (18 tasks)</t>
  </si>
  <si>
    <t xml:space="preserve">7A: Business Setup &amp; Banking (Wk 1–4)</t>
  </si>
  <si>
    <t xml:space="preserve">7B: Financial Modeling &amp; Budgeting (Wk 2–6)</t>
  </si>
  <si>
    <t xml:space="preserve">7C: Payment &amp; International Operations (Wk 4–8)</t>
  </si>
  <si>
    <t xml:space="preserve">7D: Inventory &amp; COGS Management (Wk 8–Ongoing)</t>
  </si>
  <si>
    <t xml:space="preserve">P8: LEGAL, COMPLIANCE &amp; IP PROTECTION  (16 tasks)</t>
  </si>
  <si>
    <t xml:space="preserve">8A: Business Formation &amp; Structure (Wk 1–4)</t>
  </si>
  <si>
    <t xml:space="preserve">8B: Intellectual Property (Wk 3–8)</t>
  </si>
  <si>
    <t xml:space="preserve">8C: E-Commerce Compliance (Wk 4–8)</t>
  </si>
  <si>
    <t xml:space="preserve">8D: Contracts &amp; Agreements (Wk 6–10)</t>
  </si>
  <si>
    <t xml:space="preserve">P9: CUSTOMER EXPERIENCE &amp; RETENTION  (18 tasks)</t>
  </si>
  <si>
    <t xml:space="preserve">9A: Customer Support Infrastructure (Wk 12–14)</t>
  </si>
  <si>
    <t xml:space="preserve">9B: Review &amp; Feedback Collection (Wk 14–Ongoing)</t>
  </si>
  <si>
    <t xml:space="preserve">9C: Customer Loyalty &amp; Retention (Wk 16–Ongoing)</t>
  </si>
  <si>
    <t xml:space="preserve">9D: Returns, Exchanges &amp; Quality Loop (Wk 14–Ongoing)</t>
  </si>
  <si>
    <t xml:space="preserve">P10: SUPPLY CHAIN &amp; FULFILLMENT  (16 tasks)</t>
  </si>
  <si>
    <t xml:space="preserve">10A: Fulfillment Operations (Wk 10–14)</t>
  </si>
  <si>
    <t xml:space="preserve">10B: International Shipping (Wk 12–16)</t>
  </si>
  <si>
    <t xml:space="preserve">10C: Inventory Management (Wk 14–Ongoing)</t>
  </si>
  <si>
    <t xml:space="preserve">10D: Packaging Optimization (Wk 16–Ongoing)</t>
  </si>
  <si>
    <t xml:space="preserve">P11: GROWTH &amp; SCALING ROADMAP  (18 tasks)</t>
  </si>
  <si>
    <t xml:space="preserve">11A: Product Line Expansion (Mo 6–12)</t>
  </si>
  <si>
    <t xml:space="preserve">11B: Channel Expansion (Mo 6–12)</t>
  </si>
  <si>
    <t xml:space="preserve">11C: International Expansion (Mo 9–18)</t>
  </si>
  <si>
    <t xml:space="preserve">11D: Team &amp; Operations Scaling (Mo 9–18)</t>
  </si>
  <si>
    <t xml:space="preserve">P12: SUSTAINABILITY &amp; BRAND PURPOSE  (12 tasks)</t>
  </si>
  <si>
    <t xml:space="preserve">12A: Sustainable Product Development (Wk 4–Ongoing)</t>
  </si>
  <si>
    <t xml:space="preserve">12B: Brand Purpose &amp; Community Impact (Wk 8–Ongoing)</t>
  </si>
  <si>
    <t xml:space="preserve">12C: Long-Term Brand Building (Mo 6–Ongoing)</t>
  </si>
  <si>
    <t xml:space="preserve">GRAND TOTAL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</si>
</sst>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%"/>
    <numFmt numFmtId="166" formatCode="General"/>
  </numFmts>
  <fonts count="1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sz val="10"/>
      <color rgb="FFFFFFFF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0"/>
      <color rgb="FF2E5090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CC000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3"/>
      <color rgb="FFFFFFFF"/>
      <name val="Arial"/>
      <family val="0"/>
      <charset val="1"/>
    </font>
    <font>
      <sz val="9"/>
      <color rgb="FFFFFFFF"/>
      <name val="Arial"/>
      <family val="0"/>
      <charset val="1"/>
    </font>
    <font>
      <sz val="9"/>
      <color rgb="FF666666"/>
      <name val="Arial"/>
      <family val="0"/>
      <charset val="1"/>
    </font>
    <font>
      <b val="true"/>
      <sz val="10"/>
      <color rgb="FFE65100"/>
      <name val="Arial"/>
      <family val="0"/>
      <charset val="1"/>
    </font>
  </fonts>
  <fills count="10">
    <fill>
      <patternFill patternType="none"/>
    </fill>
    <fill>
      <patternFill patternType="gray125"/>
    </fill>
    <fill>
      <patternFill patternType="solid">
        <fgColor rgb="FF1B2A4A"/>
        <bgColor rgb="FF003366"/>
      </patternFill>
    </fill>
    <fill>
      <patternFill patternType="solid">
        <fgColor rgb="FF2E5090"/>
        <bgColor rgb="FF0066CC"/>
      </patternFill>
    </fill>
    <fill>
      <patternFill patternType="solid">
        <fgColor rgb="FFFFFFFF"/>
        <bgColor rgb="FFF5F5F5"/>
      </patternFill>
    </fill>
    <fill>
      <patternFill patternType="solid">
        <fgColor rgb="FFF2F2F2"/>
        <bgColor rgb="FFF5F5F5"/>
      </patternFill>
    </fill>
    <fill>
      <patternFill patternType="solid">
        <fgColor rgb="FFD6E4F0"/>
        <bgColor rgb="FFF2F2F2"/>
      </patternFill>
    </fill>
    <fill>
      <patternFill patternType="solid">
        <fgColor rgb="FFF5F5F5"/>
        <bgColor rgb="FFF2F2F2"/>
      </patternFill>
    </fill>
    <fill>
      <patternFill patternType="solid">
        <fgColor rgb="FF2E7D32"/>
        <bgColor rgb="FF1B5E20"/>
      </patternFill>
    </fill>
    <fill>
      <patternFill patternType="solid">
        <fgColor rgb="FF1B5E20"/>
        <bgColor rgb="FF2E7D32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  <border diagonalUp="false" diagonalDown="false">
      <left style="thin">
        <color rgb="FFD0D0D0"/>
      </left>
      <right/>
      <top style="thin">
        <color rgb="FFD0D0D0"/>
      </top>
      <bottom style="thin">
        <color rgb="FFD0D0D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2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9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9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1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1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2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3" fillId="2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6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9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4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4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5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4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5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8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8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3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" fillId="9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1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1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C0000"/>
      <rgbColor rgb="FF00FF00"/>
      <rgbColor rgb="FF0000FF"/>
      <rgbColor rgb="FFFFFF00"/>
      <rgbColor rgb="FFFF00FF"/>
      <rgbColor rgb="FF00FFFF"/>
      <rgbColor rgb="FF800000"/>
      <rgbColor rgb="FF1B5E2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5F5F5"/>
      <rgbColor rgb="FFD6E4F0"/>
      <rgbColor rgb="FF660066"/>
      <rgbColor rgb="FFFF8080"/>
      <rgbColor rgb="FF0066CC"/>
      <rgbColor rgb="FFD0D0D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E65100"/>
      <rgbColor rgb="FF666666"/>
      <rgbColor rgb="FF969696"/>
      <rgbColor rgb="FF003366"/>
      <rgbColor rgb="FF2E7D32"/>
      <rgbColor rgb="FF003300"/>
      <rgbColor rgb="FF333300"/>
      <rgbColor rgb="FF993300"/>
      <rgbColor rgb="FF993366"/>
      <rgbColor rgb="FF2E5090"/>
      <rgbColor rgb="FF1B2A4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B2A4A"/>
    <pageSetUpPr fitToPage="false"/>
  </sheetPr>
  <dimension ref="A1:K1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42"/>
    <col collapsed="false" customWidth="true" hidden="false" outlineLevel="0" max="3" min="3" style="0" width="14"/>
    <col collapsed="false" customWidth="true" hidden="false" outlineLevel="0" max="5" min="4" style="0" width="13"/>
    <col collapsed="false" customWidth="true" hidden="false" outlineLevel="0" max="7" min="6" style="0" width="12"/>
    <col collapsed="false" customWidth="true" hidden="false" outlineLevel="0" max="8" min="8" style="0" width="14"/>
    <col collapsed="false" customWidth="true" hidden="false" outlineLevel="0" max="9" min="9" style="0" width="18"/>
    <col collapsed="false" customWidth="true" hidden="false" outlineLevel="0" max="10" min="10" style="0" width="14"/>
    <col collapsed="false" customWidth="true" hidden="false" outlineLevel="0" max="11" min="11" style="0" width="18"/>
  </cols>
  <sheetData>
    <row r="1" customFormat="false" ht="30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customFormat="false" ht="21.7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</row>
    <row r="3" customFormat="false" ht="6" hidden="false" customHeight="true" outlineLevel="0" collapsed="false"/>
    <row r="4" customFormat="false" ht="26.8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</row>
    <row r="5" customFormat="false" ht="15" hidden="false" customHeight="false" outlineLevel="0" collapsed="false">
      <c r="A5" s="4" t="s">
        <v>13</v>
      </c>
      <c r="B5" s="5" t="s">
        <v>14</v>
      </c>
      <c r="C5" s="6" t="s">
        <v>15</v>
      </c>
      <c r="D5" s="6" t="n">
        <v>7</v>
      </c>
      <c r="E5" s="6" t="n">
        <v>42</v>
      </c>
      <c r="F5" s="6" t="n">
        <v>0</v>
      </c>
      <c r="G5" s="7" t="n">
        <f aca="false">IF(E5=0,0,F5/E5)</f>
        <v>0</v>
      </c>
      <c r="H5" s="6" t="s">
        <v>16</v>
      </c>
      <c r="I5" s="6" t="s">
        <v>17</v>
      </c>
      <c r="J5" s="8" t="s">
        <v>18</v>
      </c>
      <c r="K5" s="6" t="s">
        <v>19</v>
      </c>
    </row>
    <row r="6" customFormat="false" ht="15" hidden="false" customHeight="false" outlineLevel="0" collapsed="false">
      <c r="A6" s="9" t="s">
        <v>20</v>
      </c>
      <c r="B6" s="10" t="s">
        <v>21</v>
      </c>
      <c r="C6" s="11" t="s">
        <v>22</v>
      </c>
      <c r="D6" s="11" t="n">
        <v>5</v>
      </c>
      <c r="E6" s="11" t="n">
        <v>28</v>
      </c>
      <c r="F6" s="11" t="n">
        <v>0</v>
      </c>
      <c r="G6" s="12" t="n">
        <f aca="false">IF(E6=0,0,F6/E6)</f>
        <v>0</v>
      </c>
      <c r="H6" s="11" t="s">
        <v>16</v>
      </c>
      <c r="I6" s="11" t="s">
        <v>23</v>
      </c>
      <c r="J6" s="13" t="s">
        <v>18</v>
      </c>
      <c r="K6" s="11" t="s">
        <v>13</v>
      </c>
    </row>
    <row r="7" customFormat="false" ht="15" hidden="false" customHeight="false" outlineLevel="0" collapsed="false">
      <c r="A7" s="4" t="s">
        <v>24</v>
      </c>
      <c r="B7" s="5" t="s">
        <v>25</v>
      </c>
      <c r="C7" s="6" t="s">
        <v>26</v>
      </c>
      <c r="D7" s="6" t="n">
        <v>5</v>
      </c>
      <c r="E7" s="6" t="n">
        <v>27</v>
      </c>
      <c r="F7" s="6" t="n">
        <v>0</v>
      </c>
      <c r="G7" s="7" t="n">
        <f aca="false">IF(E7=0,0,F7/E7)</f>
        <v>0</v>
      </c>
      <c r="H7" s="6" t="s">
        <v>16</v>
      </c>
      <c r="I7" s="6" t="s">
        <v>27</v>
      </c>
      <c r="J7" s="8" t="s">
        <v>18</v>
      </c>
      <c r="K7" s="6" t="s">
        <v>13</v>
      </c>
    </row>
    <row r="8" customFormat="false" ht="15" hidden="false" customHeight="false" outlineLevel="0" collapsed="false">
      <c r="A8" s="9" t="s">
        <v>28</v>
      </c>
      <c r="B8" s="10" t="s">
        <v>29</v>
      </c>
      <c r="C8" s="11" t="s">
        <v>30</v>
      </c>
      <c r="D8" s="11" t="n">
        <v>4</v>
      </c>
      <c r="E8" s="11" t="n">
        <v>22</v>
      </c>
      <c r="F8" s="11" t="n">
        <v>0</v>
      </c>
      <c r="G8" s="12" t="n">
        <f aca="false">IF(E8=0,0,F8/E8)</f>
        <v>0</v>
      </c>
      <c r="H8" s="11" t="s">
        <v>16</v>
      </c>
      <c r="I8" s="11" t="s">
        <v>31</v>
      </c>
      <c r="J8" s="13" t="s">
        <v>18</v>
      </c>
      <c r="K8" s="11" t="s">
        <v>24</v>
      </c>
    </row>
    <row r="9" customFormat="false" ht="15" hidden="false" customHeight="false" outlineLevel="0" collapsed="false">
      <c r="A9" s="4" t="s">
        <v>32</v>
      </c>
      <c r="B9" s="5" t="s">
        <v>33</v>
      </c>
      <c r="C9" s="6" t="s">
        <v>34</v>
      </c>
      <c r="D9" s="6" t="n">
        <v>5</v>
      </c>
      <c r="E9" s="6" t="n">
        <v>28</v>
      </c>
      <c r="F9" s="6" t="n">
        <v>0</v>
      </c>
      <c r="G9" s="7" t="n">
        <f aca="false">IF(E9=0,0,F9/E9)</f>
        <v>0</v>
      </c>
      <c r="H9" s="6" t="s">
        <v>16</v>
      </c>
      <c r="I9" s="6" t="s">
        <v>35</v>
      </c>
      <c r="J9" s="8" t="s">
        <v>18</v>
      </c>
      <c r="K9" s="6" t="s">
        <v>20</v>
      </c>
    </row>
    <row r="10" customFormat="false" ht="15" hidden="false" customHeight="false" outlineLevel="0" collapsed="false">
      <c r="A10" s="9" t="s">
        <v>36</v>
      </c>
      <c r="B10" s="10" t="s">
        <v>37</v>
      </c>
      <c r="C10" s="11" t="s">
        <v>38</v>
      </c>
      <c r="D10" s="11" t="n">
        <v>5</v>
      </c>
      <c r="E10" s="11" t="n">
        <v>26</v>
      </c>
      <c r="F10" s="11" t="n">
        <v>0</v>
      </c>
      <c r="G10" s="12" t="n">
        <f aca="false">IF(E10=0,0,F10/E10)</f>
        <v>0</v>
      </c>
      <c r="H10" s="11" t="s">
        <v>16</v>
      </c>
      <c r="I10" s="11" t="s">
        <v>23</v>
      </c>
      <c r="J10" s="11" t="s">
        <v>39</v>
      </c>
      <c r="K10" s="11" t="s">
        <v>40</v>
      </c>
    </row>
    <row r="11" customFormat="false" ht="15" hidden="false" customHeight="false" outlineLevel="0" collapsed="false">
      <c r="A11" s="4" t="s">
        <v>41</v>
      </c>
      <c r="B11" s="5" t="s">
        <v>42</v>
      </c>
      <c r="C11" s="6" t="s">
        <v>43</v>
      </c>
      <c r="D11" s="6" t="n">
        <v>5</v>
      </c>
      <c r="E11" s="6" t="n">
        <v>25</v>
      </c>
      <c r="F11" s="6" t="n">
        <v>0</v>
      </c>
      <c r="G11" s="7" t="n">
        <f aca="false">IF(E11=0,0,F11/E11)</f>
        <v>0</v>
      </c>
      <c r="H11" s="6" t="s">
        <v>16</v>
      </c>
      <c r="I11" s="6" t="s">
        <v>44</v>
      </c>
      <c r="J11" s="8" t="s">
        <v>18</v>
      </c>
      <c r="K11" s="6" t="s">
        <v>45</v>
      </c>
    </row>
    <row r="12" customFormat="false" ht="15" hidden="false" customHeight="false" outlineLevel="0" collapsed="false">
      <c r="A12" s="9" t="s">
        <v>46</v>
      </c>
      <c r="B12" s="10" t="s">
        <v>47</v>
      </c>
      <c r="C12" s="11" t="s">
        <v>48</v>
      </c>
      <c r="D12" s="11" t="n">
        <v>4</v>
      </c>
      <c r="E12" s="11" t="n">
        <v>18</v>
      </c>
      <c r="F12" s="11" t="n">
        <v>0</v>
      </c>
      <c r="G12" s="12" t="n">
        <f aca="false">IF(E12=0,0,F12/E12)</f>
        <v>0</v>
      </c>
      <c r="H12" s="11" t="s">
        <v>16</v>
      </c>
      <c r="I12" s="11" t="s">
        <v>49</v>
      </c>
      <c r="J12" s="13" t="s">
        <v>18</v>
      </c>
      <c r="K12" s="11" t="s">
        <v>19</v>
      </c>
    </row>
    <row r="13" customFormat="false" ht="15" hidden="false" customHeight="false" outlineLevel="0" collapsed="false">
      <c r="A13" s="4" t="s">
        <v>50</v>
      </c>
      <c r="B13" s="5" t="s">
        <v>51</v>
      </c>
      <c r="C13" s="6" t="s">
        <v>52</v>
      </c>
      <c r="D13" s="6" t="n">
        <v>4</v>
      </c>
      <c r="E13" s="6" t="n">
        <v>16</v>
      </c>
      <c r="F13" s="6" t="n">
        <v>0</v>
      </c>
      <c r="G13" s="7" t="n">
        <f aca="false">IF(E13=0,0,F13/E13)</f>
        <v>0</v>
      </c>
      <c r="H13" s="6" t="s">
        <v>16</v>
      </c>
      <c r="I13" s="6" t="s">
        <v>23</v>
      </c>
      <c r="J13" s="8" t="s">
        <v>18</v>
      </c>
      <c r="K13" s="6" t="s">
        <v>19</v>
      </c>
    </row>
    <row r="14" customFormat="false" ht="15" hidden="false" customHeight="false" outlineLevel="0" collapsed="false">
      <c r="A14" s="9" t="s">
        <v>53</v>
      </c>
      <c r="B14" s="10" t="s">
        <v>54</v>
      </c>
      <c r="C14" s="11" t="s">
        <v>55</v>
      </c>
      <c r="D14" s="11" t="n">
        <v>4</v>
      </c>
      <c r="E14" s="11" t="n">
        <v>18</v>
      </c>
      <c r="F14" s="11" t="n">
        <v>0</v>
      </c>
      <c r="G14" s="12" t="n">
        <f aca="false">IF(E14=0,0,F14/E14)</f>
        <v>0</v>
      </c>
      <c r="H14" s="11" t="s">
        <v>16</v>
      </c>
      <c r="I14" s="11" t="s">
        <v>56</v>
      </c>
      <c r="J14" s="11" t="s">
        <v>39</v>
      </c>
      <c r="K14" s="11" t="s">
        <v>57</v>
      </c>
    </row>
    <row r="15" customFormat="false" ht="15" hidden="false" customHeight="false" outlineLevel="0" collapsed="false">
      <c r="A15" s="4" t="s">
        <v>58</v>
      </c>
      <c r="B15" s="5" t="s">
        <v>59</v>
      </c>
      <c r="C15" s="6" t="s">
        <v>60</v>
      </c>
      <c r="D15" s="6" t="n">
        <v>4</v>
      </c>
      <c r="E15" s="6" t="n">
        <v>16</v>
      </c>
      <c r="F15" s="6" t="n">
        <v>0</v>
      </c>
      <c r="G15" s="7" t="n">
        <f aca="false">IF(E15=0,0,F15/E15)</f>
        <v>0</v>
      </c>
      <c r="H15" s="6" t="s">
        <v>16</v>
      </c>
      <c r="I15" s="6" t="s">
        <v>27</v>
      </c>
      <c r="J15" s="6" t="s">
        <v>39</v>
      </c>
      <c r="K15" s="6" t="s">
        <v>28</v>
      </c>
    </row>
    <row r="16" customFormat="false" ht="15" hidden="false" customHeight="false" outlineLevel="0" collapsed="false">
      <c r="A16" s="9" t="s">
        <v>61</v>
      </c>
      <c r="B16" s="10" t="s">
        <v>62</v>
      </c>
      <c r="C16" s="11" t="s">
        <v>63</v>
      </c>
      <c r="D16" s="11" t="n">
        <v>4</v>
      </c>
      <c r="E16" s="11" t="n">
        <v>18</v>
      </c>
      <c r="F16" s="11" t="n">
        <v>0</v>
      </c>
      <c r="G16" s="12" t="n">
        <f aca="false">IF(E16=0,0,F16/E16)</f>
        <v>0</v>
      </c>
      <c r="H16" s="11" t="s">
        <v>16</v>
      </c>
      <c r="I16" s="11" t="s">
        <v>64</v>
      </c>
      <c r="J16" s="11" t="s">
        <v>39</v>
      </c>
      <c r="K16" s="11" t="s">
        <v>41</v>
      </c>
    </row>
    <row r="17" customFormat="false" ht="21.75" hidden="false" customHeight="true" outlineLevel="0" collapsed="false">
      <c r="A17" s="4" t="s">
        <v>65</v>
      </c>
      <c r="B17" s="5" t="s">
        <v>66</v>
      </c>
      <c r="C17" s="6" t="s">
        <v>67</v>
      </c>
      <c r="D17" s="6" t="n">
        <v>3</v>
      </c>
      <c r="E17" s="6" t="n">
        <v>12</v>
      </c>
      <c r="F17" s="6" t="n">
        <v>0</v>
      </c>
      <c r="G17" s="7" t="n">
        <f aca="false">IF(E17=0,0,F17/E17)</f>
        <v>0</v>
      </c>
      <c r="H17" s="6" t="s">
        <v>16</v>
      </c>
      <c r="I17" s="6" t="s">
        <v>56</v>
      </c>
      <c r="J17" s="6" t="s">
        <v>39</v>
      </c>
      <c r="K17" s="6" t="s">
        <v>68</v>
      </c>
    </row>
    <row r="18" customFormat="false" ht="15" hidden="false" customHeight="false" outlineLevel="0" collapsed="false">
      <c r="A18" s="14" t="s">
        <v>69</v>
      </c>
      <c r="B18" s="15"/>
      <c r="C18" s="15"/>
      <c r="D18" s="15" t="n">
        <f aca="false">SUM(D5:D17)</f>
        <v>59</v>
      </c>
      <c r="E18" s="15" t="n">
        <f aca="false">SUM(E5:E17)</f>
        <v>296</v>
      </c>
      <c r="F18" s="15" t="n">
        <f aca="false">SUM(F5:F17)</f>
        <v>0</v>
      </c>
      <c r="G18" s="16" t="n">
        <f aca="false">IF(E18=0,0,F18/E18)</f>
        <v>0</v>
      </c>
      <c r="H18" s="15"/>
      <c r="I18" s="15" t="s">
        <v>70</v>
      </c>
      <c r="J18" s="15"/>
      <c r="K18" s="15"/>
    </row>
  </sheetData>
  <mergeCells count="2">
    <mergeCell ref="A1:K1"/>
    <mergeCell ref="A2:K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E5090"/>
    <pageSetUpPr fitToPage="false"/>
  </sheetPr>
  <dimension ref="A1:M5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0"/>
    <col collapsed="false" customWidth="true" hidden="false" outlineLevel="0" max="3" min="3" style="0" width="55"/>
    <col collapsed="false" customWidth="true" hidden="false" outlineLevel="0" max="5" min="4" style="0" width="12"/>
    <col collapsed="false" customWidth="true" hidden="false" outlineLevel="0" max="6" min="6" style="0" width="10"/>
    <col collapsed="false" customWidth="true" hidden="false" outlineLevel="0" max="7" min="7" style="0" width="14"/>
    <col collapsed="false" customWidth="true" hidden="false" outlineLevel="0" max="8" min="8" style="0" width="28"/>
    <col collapsed="false" customWidth="true" hidden="false" outlineLevel="0" max="9" min="9" style="0" width="22"/>
    <col collapsed="false" customWidth="true" hidden="false" outlineLevel="0" max="10" min="10" style="0" width="18"/>
    <col collapsed="false" customWidth="true" hidden="false" outlineLevel="0" max="11" min="11" style="0" width="10"/>
    <col collapsed="false" customWidth="true" hidden="false" outlineLevel="0" max="12" min="12" style="0" width="50"/>
    <col collapsed="false" customWidth="true" hidden="false" outlineLevel="0" max="13" min="13" style="0" width="14"/>
  </cols>
  <sheetData>
    <row r="1" customFormat="false" ht="27.75" hidden="false" customHeight="true" outlineLevel="0" collapsed="false">
      <c r="A1" s="17" t="s">
        <v>71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</row>
    <row r="2" customFormat="false" ht="21.75" hidden="false" customHeight="true" outlineLevel="0" collapsed="false">
      <c r="A2" s="18" t="s">
        <v>72</v>
      </c>
      <c r="B2" s="18"/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</row>
    <row r="3" customFormat="false" ht="24" hidden="false" customHeight="true" outlineLevel="0" collapsed="false">
      <c r="A3" s="3" t="s">
        <v>73</v>
      </c>
      <c r="B3" s="3" t="s">
        <v>74</v>
      </c>
      <c r="C3" s="3" t="s">
        <v>75</v>
      </c>
      <c r="D3" s="3" t="s">
        <v>76</v>
      </c>
      <c r="E3" s="3" t="s">
        <v>77</v>
      </c>
      <c r="F3" s="3" t="s">
        <v>78</v>
      </c>
      <c r="G3" s="3" t="s">
        <v>9</v>
      </c>
      <c r="H3" s="3" t="s">
        <v>79</v>
      </c>
      <c r="I3" s="3" t="s">
        <v>80</v>
      </c>
      <c r="J3" s="3" t="s">
        <v>81</v>
      </c>
      <c r="K3" s="3" t="s">
        <v>82</v>
      </c>
      <c r="L3" s="3" t="s">
        <v>83</v>
      </c>
      <c r="M3" s="3" t="s">
        <v>84</v>
      </c>
    </row>
    <row r="4" customFormat="false" ht="21.75" hidden="false" customHeight="true" outlineLevel="0" collapsed="false">
      <c r="A4" s="19" t="s">
        <v>85</v>
      </c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</row>
    <row r="5" customFormat="false" ht="37.5" hidden="false" customHeight="true" outlineLevel="0" collapsed="false">
      <c r="A5" s="6" t="s">
        <v>86</v>
      </c>
      <c r="B5" s="6" t="s">
        <v>87</v>
      </c>
      <c r="C5" s="20" t="s">
        <v>88</v>
      </c>
      <c r="D5" s="6" t="s">
        <v>89</v>
      </c>
      <c r="E5" s="6" t="s">
        <v>90</v>
      </c>
      <c r="F5" s="8" t="s">
        <v>91</v>
      </c>
      <c r="G5" s="21" t="s">
        <v>16</v>
      </c>
      <c r="H5" s="20" t="s">
        <v>92</v>
      </c>
      <c r="I5" s="20" t="s">
        <v>93</v>
      </c>
      <c r="J5" s="22"/>
      <c r="K5" s="7" t="n">
        <v>0</v>
      </c>
      <c r="L5" s="23" t="s">
        <v>94</v>
      </c>
      <c r="M5" s="6" t="s">
        <v>95</v>
      </c>
    </row>
    <row r="6" customFormat="false" ht="37.5" hidden="false" customHeight="true" outlineLevel="0" collapsed="false">
      <c r="A6" s="11" t="s">
        <v>96</v>
      </c>
      <c r="B6" s="11" t="s">
        <v>87</v>
      </c>
      <c r="C6" s="24" t="s">
        <v>97</v>
      </c>
      <c r="D6" s="11" t="s">
        <v>89</v>
      </c>
      <c r="E6" s="11" t="s">
        <v>90</v>
      </c>
      <c r="F6" s="13" t="s">
        <v>91</v>
      </c>
      <c r="G6" s="21" t="s">
        <v>16</v>
      </c>
      <c r="H6" s="24" t="s">
        <v>98</v>
      </c>
      <c r="I6" s="24" t="s">
        <v>99</v>
      </c>
      <c r="J6" s="25"/>
      <c r="K6" s="12" t="n">
        <v>0</v>
      </c>
      <c r="L6" s="26" t="s">
        <v>100</v>
      </c>
      <c r="M6" s="11" t="s">
        <v>101</v>
      </c>
    </row>
    <row r="7" customFormat="false" ht="37.5" hidden="false" customHeight="true" outlineLevel="0" collapsed="false">
      <c r="A7" s="6" t="s">
        <v>102</v>
      </c>
      <c r="B7" s="6" t="s">
        <v>87</v>
      </c>
      <c r="C7" s="20" t="s">
        <v>103</v>
      </c>
      <c r="D7" s="6" t="s">
        <v>89</v>
      </c>
      <c r="E7" s="6" t="s">
        <v>104</v>
      </c>
      <c r="F7" s="27" t="s">
        <v>105</v>
      </c>
      <c r="G7" s="21" t="s">
        <v>16</v>
      </c>
      <c r="H7" s="20" t="s">
        <v>106</v>
      </c>
      <c r="I7" s="20" t="s">
        <v>107</v>
      </c>
      <c r="J7" s="22"/>
      <c r="K7" s="7" t="n">
        <v>0</v>
      </c>
      <c r="L7" s="23" t="s">
        <v>108</v>
      </c>
      <c r="M7" s="6" t="s">
        <v>109</v>
      </c>
    </row>
    <row r="8" customFormat="false" ht="37.5" hidden="false" customHeight="true" outlineLevel="0" collapsed="false">
      <c r="A8" s="11" t="s">
        <v>110</v>
      </c>
      <c r="B8" s="11" t="s">
        <v>87</v>
      </c>
      <c r="C8" s="24" t="s">
        <v>111</v>
      </c>
      <c r="D8" s="11" t="s">
        <v>89</v>
      </c>
      <c r="E8" s="11" t="s">
        <v>104</v>
      </c>
      <c r="F8" s="28" t="s">
        <v>105</v>
      </c>
      <c r="G8" s="21" t="s">
        <v>16</v>
      </c>
      <c r="H8" s="24" t="s">
        <v>112</v>
      </c>
      <c r="I8" s="24" t="s">
        <v>113</v>
      </c>
      <c r="J8" s="25"/>
      <c r="K8" s="12" t="n">
        <v>0</v>
      </c>
      <c r="L8" s="26" t="s">
        <v>114</v>
      </c>
      <c r="M8" s="11" t="s">
        <v>115</v>
      </c>
    </row>
    <row r="9" customFormat="false" ht="37.5" hidden="false" customHeight="true" outlineLevel="0" collapsed="false">
      <c r="A9" s="6" t="s">
        <v>116</v>
      </c>
      <c r="B9" s="6" t="s">
        <v>87</v>
      </c>
      <c r="C9" s="20" t="s">
        <v>117</v>
      </c>
      <c r="D9" s="6" t="s">
        <v>89</v>
      </c>
      <c r="E9" s="6" t="s">
        <v>118</v>
      </c>
      <c r="F9" s="8" t="s">
        <v>91</v>
      </c>
      <c r="G9" s="21" t="s">
        <v>16</v>
      </c>
      <c r="H9" s="20" t="s">
        <v>119</v>
      </c>
      <c r="I9" s="20" t="s">
        <v>120</v>
      </c>
      <c r="J9" s="22"/>
      <c r="K9" s="7" t="n">
        <v>0</v>
      </c>
      <c r="L9" s="23" t="s">
        <v>121</v>
      </c>
      <c r="M9" s="6" t="s">
        <v>122</v>
      </c>
    </row>
    <row r="10" customFormat="false" ht="37.5" hidden="false" customHeight="true" outlineLevel="0" collapsed="false">
      <c r="A10" s="11" t="s">
        <v>123</v>
      </c>
      <c r="B10" s="11" t="s">
        <v>87</v>
      </c>
      <c r="C10" s="24" t="s">
        <v>124</v>
      </c>
      <c r="D10" s="11" t="s">
        <v>89</v>
      </c>
      <c r="E10" s="11" t="s">
        <v>118</v>
      </c>
      <c r="F10" s="11" t="s">
        <v>125</v>
      </c>
      <c r="G10" s="21" t="s">
        <v>16</v>
      </c>
      <c r="H10" s="24" t="s">
        <v>126</v>
      </c>
      <c r="I10" s="24" t="s">
        <v>127</v>
      </c>
      <c r="J10" s="25"/>
      <c r="K10" s="12" t="n">
        <v>0</v>
      </c>
      <c r="L10" s="26" t="s">
        <v>128</v>
      </c>
      <c r="M10" s="11" t="s">
        <v>129</v>
      </c>
    </row>
    <row r="11" customFormat="false" ht="37.5" hidden="false" customHeight="true" outlineLevel="0" collapsed="false">
      <c r="A11" s="6" t="s">
        <v>130</v>
      </c>
      <c r="B11" s="6" t="s">
        <v>87</v>
      </c>
      <c r="C11" s="20" t="s">
        <v>131</v>
      </c>
      <c r="D11" s="6" t="s">
        <v>89</v>
      </c>
      <c r="E11" s="6" t="s">
        <v>118</v>
      </c>
      <c r="F11" s="6" t="s">
        <v>125</v>
      </c>
      <c r="G11" s="21" t="s">
        <v>16</v>
      </c>
      <c r="H11" s="20" t="s">
        <v>132</v>
      </c>
      <c r="I11" s="20" t="s">
        <v>133</v>
      </c>
      <c r="J11" s="22"/>
      <c r="K11" s="7" t="n">
        <v>0</v>
      </c>
      <c r="L11" s="23" t="s">
        <v>134</v>
      </c>
      <c r="M11" s="6" t="s">
        <v>135</v>
      </c>
    </row>
    <row r="12" customFormat="false" ht="37.5" hidden="false" customHeight="true" outlineLevel="0" collapsed="false">
      <c r="A12" s="11" t="s">
        <v>136</v>
      </c>
      <c r="B12" s="11" t="s">
        <v>87</v>
      </c>
      <c r="C12" s="24" t="s">
        <v>137</v>
      </c>
      <c r="D12" s="11" t="s">
        <v>89</v>
      </c>
      <c r="E12" s="11" t="s">
        <v>118</v>
      </c>
      <c r="F12" s="11" t="s">
        <v>125</v>
      </c>
      <c r="G12" s="21" t="s">
        <v>16</v>
      </c>
      <c r="H12" s="24" t="s">
        <v>138</v>
      </c>
      <c r="I12" s="24" t="s">
        <v>139</v>
      </c>
      <c r="J12" s="25"/>
      <c r="K12" s="12" t="n">
        <v>0</v>
      </c>
      <c r="L12" s="26" t="s">
        <v>140</v>
      </c>
      <c r="M12" s="11" t="s">
        <v>141</v>
      </c>
    </row>
    <row r="14" customFormat="false" ht="21.75" hidden="false" customHeight="true" outlineLevel="0" collapsed="false">
      <c r="A14" s="19" t="s">
        <v>142</v>
      </c>
      <c r="B14" s="19"/>
      <c r="C14" s="19"/>
      <c r="D14" s="19"/>
      <c r="E14" s="19"/>
      <c r="F14" s="19"/>
      <c r="G14" s="19"/>
      <c r="H14" s="19"/>
      <c r="I14" s="19"/>
      <c r="J14" s="19"/>
      <c r="K14" s="19"/>
      <c r="L14" s="19"/>
      <c r="M14" s="19"/>
    </row>
    <row r="15" customFormat="false" ht="37.5" hidden="false" customHeight="true" outlineLevel="0" collapsed="false">
      <c r="A15" s="6" t="s">
        <v>143</v>
      </c>
      <c r="B15" s="6" t="s">
        <v>144</v>
      </c>
      <c r="C15" s="20" t="s">
        <v>145</v>
      </c>
      <c r="D15" s="6" t="s">
        <v>89</v>
      </c>
      <c r="E15" s="6" t="s">
        <v>104</v>
      </c>
      <c r="F15" s="27" t="s">
        <v>105</v>
      </c>
      <c r="G15" s="21" t="s">
        <v>16</v>
      </c>
      <c r="H15" s="20" t="s">
        <v>146</v>
      </c>
      <c r="I15" s="20" t="s">
        <v>147</v>
      </c>
      <c r="J15" s="22"/>
      <c r="K15" s="7" t="n">
        <v>0</v>
      </c>
      <c r="L15" s="23" t="s">
        <v>148</v>
      </c>
      <c r="M15" s="6" t="s">
        <v>149</v>
      </c>
    </row>
    <row r="16" customFormat="false" ht="37.5" hidden="false" customHeight="true" outlineLevel="0" collapsed="false">
      <c r="A16" s="11" t="s">
        <v>150</v>
      </c>
      <c r="B16" s="11" t="s">
        <v>144</v>
      </c>
      <c r="C16" s="24" t="s">
        <v>151</v>
      </c>
      <c r="D16" s="11" t="s">
        <v>89</v>
      </c>
      <c r="E16" s="11" t="s">
        <v>152</v>
      </c>
      <c r="F16" s="28" t="s">
        <v>105</v>
      </c>
      <c r="G16" s="21" t="s">
        <v>16</v>
      </c>
      <c r="H16" s="24" t="s">
        <v>153</v>
      </c>
      <c r="I16" s="24" t="s">
        <v>154</v>
      </c>
      <c r="J16" s="25"/>
      <c r="K16" s="12" t="n">
        <v>0</v>
      </c>
      <c r="L16" s="26" t="s">
        <v>155</v>
      </c>
      <c r="M16" s="11" t="s">
        <v>156</v>
      </c>
    </row>
    <row r="17" customFormat="false" ht="37.5" hidden="false" customHeight="true" outlineLevel="0" collapsed="false">
      <c r="A17" s="6" t="s">
        <v>157</v>
      </c>
      <c r="B17" s="6" t="s">
        <v>144</v>
      </c>
      <c r="C17" s="20" t="s">
        <v>158</v>
      </c>
      <c r="D17" s="6" t="s">
        <v>89</v>
      </c>
      <c r="E17" s="6" t="s">
        <v>118</v>
      </c>
      <c r="F17" s="27" t="s">
        <v>105</v>
      </c>
      <c r="G17" s="21" t="s">
        <v>16</v>
      </c>
      <c r="H17" s="20" t="s">
        <v>159</v>
      </c>
      <c r="I17" s="20" t="s">
        <v>160</v>
      </c>
      <c r="J17" s="22"/>
      <c r="K17" s="7" t="n">
        <v>0</v>
      </c>
      <c r="L17" s="23" t="s">
        <v>161</v>
      </c>
      <c r="M17" s="6" t="s">
        <v>162</v>
      </c>
    </row>
    <row r="18" customFormat="false" ht="37.5" hidden="false" customHeight="true" outlineLevel="0" collapsed="false">
      <c r="A18" s="11" t="s">
        <v>163</v>
      </c>
      <c r="B18" s="11" t="s">
        <v>144</v>
      </c>
      <c r="C18" s="24" t="s">
        <v>164</v>
      </c>
      <c r="D18" s="11" t="s">
        <v>89</v>
      </c>
      <c r="E18" s="11" t="s">
        <v>165</v>
      </c>
      <c r="F18" s="28" t="s">
        <v>105</v>
      </c>
      <c r="G18" s="21" t="s">
        <v>16</v>
      </c>
      <c r="H18" s="24" t="s">
        <v>166</v>
      </c>
      <c r="I18" s="24" t="s">
        <v>167</v>
      </c>
      <c r="J18" s="25"/>
      <c r="K18" s="12" t="n">
        <v>0</v>
      </c>
      <c r="L18" s="26" t="s">
        <v>168</v>
      </c>
      <c r="M18" s="11" t="s">
        <v>169</v>
      </c>
    </row>
    <row r="19" customFormat="false" ht="37.5" hidden="false" customHeight="true" outlineLevel="0" collapsed="false">
      <c r="A19" s="6" t="s">
        <v>170</v>
      </c>
      <c r="B19" s="6" t="s">
        <v>144</v>
      </c>
      <c r="C19" s="20" t="s">
        <v>171</v>
      </c>
      <c r="D19" s="6" t="s">
        <v>89</v>
      </c>
      <c r="E19" s="6" t="s">
        <v>118</v>
      </c>
      <c r="F19" s="6" t="s">
        <v>125</v>
      </c>
      <c r="G19" s="21" t="s">
        <v>16</v>
      </c>
      <c r="H19" s="20" t="s">
        <v>172</v>
      </c>
      <c r="I19" s="20" t="s">
        <v>173</v>
      </c>
      <c r="J19" s="22"/>
      <c r="K19" s="7" t="n">
        <v>0</v>
      </c>
      <c r="L19" s="23" t="s">
        <v>174</v>
      </c>
      <c r="M19" s="6" t="s">
        <v>175</v>
      </c>
    </row>
    <row r="20" customFormat="false" ht="37.5" hidden="false" customHeight="true" outlineLevel="0" collapsed="false">
      <c r="A20" s="11" t="s">
        <v>176</v>
      </c>
      <c r="B20" s="11" t="s">
        <v>144</v>
      </c>
      <c r="C20" s="24" t="s">
        <v>177</v>
      </c>
      <c r="D20" s="11" t="s">
        <v>89</v>
      </c>
      <c r="E20" s="11" t="s">
        <v>118</v>
      </c>
      <c r="F20" s="11" t="s">
        <v>125</v>
      </c>
      <c r="G20" s="21" t="s">
        <v>16</v>
      </c>
      <c r="H20" s="24" t="s">
        <v>178</v>
      </c>
      <c r="I20" s="24" t="s">
        <v>179</v>
      </c>
      <c r="J20" s="25"/>
      <c r="K20" s="12" t="n">
        <v>0</v>
      </c>
      <c r="L20" s="26" t="s">
        <v>180</v>
      </c>
      <c r="M20" s="11" t="s">
        <v>181</v>
      </c>
    </row>
    <row r="21" customFormat="false" ht="37.5" hidden="false" customHeight="true" outlineLevel="0" collapsed="false">
      <c r="A21" s="6" t="s">
        <v>182</v>
      </c>
      <c r="B21" s="6" t="s">
        <v>144</v>
      </c>
      <c r="C21" s="20" t="s">
        <v>183</v>
      </c>
      <c r="D21" s="6" t="s">
        <v>89</v>
      </c>
      <c r="E21" s="6" t="s">
        <v>184</v>
      </c>
      <c r="F21" s="8" t="s">
        <v>91</v>
      </c>
      <c r="G21" s="21" t="s">
        <v>16</v>
      </c>
      <c r="H21" s="20" t="s">
        <v>185</v>
      </c>
      <c r="I21" s="20" t="s">
        <v>186</v>
      </c>
      <c r="J21" s="22"/>
      <c r="K21" s="7" t="n">
        <v>0</v>
      </c>
      <c r="L21" s="23" t="s">
        <v>187</v>
      </c>
      <c r="M21" s="6" t="s">
        <v>188</v>
      </c>
    </row>
    <row r="23" customFormat="false" ht="21.75" hidden="false" customHeight="true" outlineLevel="0" collapsed="false">
      <c r="A23" s="19" t="s">
        <v>189</v>
      </c>
      <c r="B23" s="19"/>
      <c r="C23" s="19"/>
      <c r="D23" s="19"/>
      <c r="E23" s="19"/>
      <c r="F23" s="19"/>
      <c r="G23" s="19"/>
      <c r="H23" s="19"/>
      <c r="I23" s="19"/>
      <c r="J23" s="19"/>
      <c r="K23" s="19"/>
      <c r="L23" s="19"/>
      <c r="M23" s="19"/>
    </row>
    <row r="24" customFormat="false" ht="37.5" hidden="false" customHeight="true" outlineLevel="0" collapsed="false">
      <c r="A24" s="6" t="s">
        <v>190</v>
      </c>
      <c r="B24" s="6" t="s">
        <v>191</v>
      </c>
      <c r="C24" s="20" t="s">
        <v>192</v>
      </c>
      <c r="D24" s="6" t="s">
        <v>89</v>
      </c>
      <c r="E24" s="6" t="s">
        <v>165</v>
      </c>
      <c r="F24" s="8" t="s">
        <v>91</v>
      </c>
      <c r="G24" s="21" t="s">
        <v>16</v>
      </c>
      <c r="H24" s="20" t="s">
        <v>193</v>
      </c>
      <c r="I24" s="20" t="s">
        <v>194</v>
      </c>
      <c r="J24" s="22"/>
      <c r="K24" s="7" t="n">
        <v>0</v>
      </c>
      <c r="L24" s="23" t="s">
        <v>195</v>
      </c>
      <c r="M24" s="6" t="s">
        <v>196</v>
      </c>
    </row>
    <row r="25" customFormat="false" ht="37.5" hidden="false" customHeight="true" outlineLevel="0" collapsed="false">
      <c r="A25" s="11" t="s">
        <v>197</v>
      </c>
      <c r="B25" s="11" t="s">
        <v>191</v>
      </c>
      <c r="C25" s="24" t="s">
        <v>198</v>
      </c>
      <c r="D25" s="11" t="s">
        <v>89</v>
      </c>
      <c r="E25" s="11" t="s">
        <v>184</v>
      </c>
      <c r="F25" s="28" t="s">
        <v>105</v>
      </c>
      <c r="G25" s="21" t="s">
        <v>16</v>
      </c>
      <c r="H25" s="24" t="s">
        <v>199</v>
      </c>
      <c r="I25" s="24" t="s">
        <v>200</v>
      </c>
      <c r="J25" s="25"/>
      <c r="K25" s="12" t="n">
        <v>0</v>
      </c>
      <c r="L25" s="26" t="s">
        <v>201</v>
      </c>
      <c r="M25" s="11" t="s">
        <v>202</v>
      </c>
    </row>
    <row r="26" customFormat="false" ht="37.5" hidden="false" customHeight="true" outlineLevel="0" collapsed="false">
      <c r="A26" s="6" t="s">
        <v>203</v>
      </c>
      <c r="B26" s="6" t="s">
        <v>191</v>
      </c>
      <c r="C26" s="20" t="s">
        <v>204</v>
      </c>
      <c r="D26" s="6" t="s">
        <v>89</v>
      </c>
      <c r="E26" s="6" t="s">
        <v>184</v>
      </c>
      <c r="F26" s="27" t="s">
        <v>105</v>
      </c>
      <c r="G26" s="21" t="s">
        <v>16</v>
      </c>
      <c r="H26" s="20" t="s">
        <v>205</v>
      </c>
      <c r="I26" s="20" t="s">
        <v>206</v>
      </c>
      <c r="J26" s="22"/>
      <c r="K26" s="7" t="n">
        <v>0</v>
      </c>
      <c r="L26" s="23" t="s">
        <v>207</v>
      </c>
      <c r="M26" s="6" t="s">
        <v>208</v>
      </c>
    </row>
    <row r="27" customFormat="false" ht="37.5" hidden="false" customHeight="true" outlineLevel="0" collapsed="false">
      <c r="A27" s="11" t="s">
        <v>209</v>
      </c>
      <c r="B27" s="11" t="s">
        <v>191</v>
      </c>
      <c r="C27" s="24" t="s">
        <v>210</v>
      </c>
      <c r="D27" s="11" t="s">
        <v>89</v>
      </c>
      <c r="E27" s="11" t="s">
        <v>211</v>
      </c>
      <c r="F27" s="13" t="s">
        <v>91</v>
      </c>
      <c r="G27" s="21" t="s">
        <v>16</v>
      </c>
      <c r="H27" s="24" t="s">
        <v>212</v>
      </c>
      <c r="I27" s="24" t="s">
        <v>213</v>
      </c>
      <c r="J27" s="25"/>
      <c r="K27" s="12" t="n">
        <v>0</v>
      </c>
      <c r="L27" s="26" t="s">
        <v>214</v>
      </c>
      <c r="M27" s="11" t="s">
        <v>215</v>
      </c>
    </row>
    <row r="28" customFormat="false" ht="37.5" hidden="false" customHeight="true" outlineLevel="0" collapsed="false">
      <c r="A28" s="6" t="s">
        <v>216</v>
      </c>
      <c r="B28" s="6" t="s">
        <v>191</v>
      </c>
      <c r="C28" s="20" t="s">
        <v>217</v>
      </c>
      <c r="D28" s="6" t="s">
        <v>89</v>
      </c>
      <c r="E28" s="6" t="s">
        <v>218</v>
      </c>
      <c r="F28" s="27" t="s">
        <v>105</v>
      </c>
      <c r="G28" s="21" t="s">
        <v>16</v>
      </c>
      <c r="H28" s="20" t="s">
        <v>219</v>
      </c>
      <c r="I28" s="20" t="s">
        <v>220</v>
      </c>
      <c r="J28" s="22"/>
      <c r="K28" s="7" t="n">
        <v>0</v>
      </c>
      <c r="L28" s="23" t="s">
        <v>221</v>
      </c>
      <c r="M28" s="6" t="s">
        <v>222</v>
      </c>
    </row>
    <row r="29" customFormat="false" ht="37.5" hidden="false" customHeight="true" outlineLevel="0" collapsed="false">
      <c r="A29" s="11" t="s">
        <v>223</v>
      </c>
      <c r="B29" s="11" t="s">
        <v>191</v>
      </c>
      <c r="C29" s="24" t="s">
        <v>224</v>
      </c>
      <c r="D29" s="11" t="s">
        <v>89</v>
      </c>
      <c r="E29" s="11" t="s">
        <v>218</v>
      </c>
      <c r="F29" s="13" t="s">
        <v>91</v>
      </c>
      <c r="G29" s="21" t="s">
        <v>16</v>
      </c>
      <c r="H29" s="24" t="s">
        <v>225</v>
      </c>
      <c r="I29" s="24" t="s">
        <v>226</v>
      </c>
      <c r="J29" s="25"/>
      <c r="K29" s="12" t="n">
        <v>0</v>
      </c>
      <c r="L29" s="26" t="s">
        <v>227</v>
      </c>
      <c r="M29" s="11" t="s">
        <v>228</v>
      </c>
    </row>
    <row r="31" customFormat="false" ht="21.75" hidden="false" customHeight="true" outlineLevel="0" collapsed="false">
      <c r="A31" s="19" t="s">
        <v>229</v>
      </c>
      <c r="B31" s="19"/>
      <c r="C31" s="19"/>
      <c r="D31" s="19"/>
      <c r="E31" s="19"/>
      <c r="F31" s="19"/>
      <c r="G31" s="19"/>
      <c r="H31" s="19"/>
      <c r="I31" s="19"/>
      <c r="J31" s="19"/>
      <c r="K31" s="19"/>
      <c r="L31" s="19"/>
      <c r="M31" s="19"/>
    </row>
    <row r="32" customFormat="false" ht="37.5" hidden="false" customHeight="true" outlineLevel="0" collapsed="false">
      <c r="A32" s="6" t="s">
        <v>230</v>
      </c>
      <c r="B32" s="6" t="s">
        <v>231</v>
      </c>
      <c r="C32" s="20" t="s">
        <v>232</v>
      </c>
      <c r="D32" s="6" t="s">
        <v>89</v>
      </c>
      <c r="E32" s="6" t="s">
        <v>184</v>
      </c>
      <c r="F32" s="27" t="s">
        <v>105</v>
      </c>
      <c r="G32" s="21" t="s">
        <v>16</v>
      </c>
      <c r="H32" s="20" t="s">
        <v>233</v>
      </c>
      <c r="I32" s="20" t="s">
        <v>234</v>
      </c>
      <c r="J32" s="22"/>
      <c r="K32" s="7" t="n">
        <v>0</v>
      </c>
      <c r="L32" s="23" t="s">
        <v>235</v>
      </c>
      <c r="M32" s="6" t="s">
        <v>236</v>
      </c>
    </row>
    <row r="33" customFormat="false" ht="37.5" hidden="false" customHeight="true" outlineLevel="0" collapsed="false">
      <c r="A33" s="11" t="s">
        <v>237</v>
      </c>
      <c r="B33" s="11" t="s">
        <v>231</v>
      </c>
      <c r="C33" s="24" t="s">
        <v>238</v>
      </c>
      <c r="D33" s="11" t="s">
        <v>89</v>
      </c>
      <c r="E33" s="11" t="s">
        <v>211</v>
      </c>
      <c r="F33" s="28" t="s">
        <v>105</v>
      </c>
      <c r="G33" s="21" t="s">
        <v>16</v>
      </c>
      <c r="H33" s="24" t="s">
        <v>239</v>
      </c>
      <c r="I33" s="24" t="s">
        <v>240</v>
      </c>
      <c r="J33" s="25"/>
      <c r="K33" s="12" t="n">
        <v>0</v>
      </c>
      <c r="L33" s="26" t="s">
        <v>241</v>
      </c>
      <c r="M33" s="11" t="s">
        <v>242</v>
      </c>
    </row>
    <row r="34" customFormat="false" ht="37.5" hidden="false" customHeight="true" outlineLevel="0" collapsed="false">
      <c r="A34" s="6" t="s">
        <v>243</v>
      </c>
      <c r="B34" s="6" t="s">
        <v>231</v>
      </c>
      <c r="C34" s="20" t="s">
        <v>244</v>
      </c>
      <c r="D34" s="6" t="s">
        <v>89</v>
      </c>
      <c r="E34" s="6" t="s">
        <v>218</v>
      </c>
      <c r="F34" s="27" t="s">
        <v>105</v>
      </c>
      <c r="G34" s="21" t="s">
        <v>16</v>
      </c>
      <c r="H34" s="20" t="s">
        <v>245</v>
      </c>
      <c r="I34" s="20" t="s">
        <v>246</v>
      </c>
      <c r="J34" s="22"/>
      <c r="K34" s="7" t="n">
        <v>0</v>
      </c>
      <c r="L34" s="23" t="s">
        <v>247</v>
      </c>
      <c r="M34" s="6" t="s">
        <v>248</v>
      </c>
    </row>
    <row r="35" customFormat="false" ht="37.5" hidden="false" customHeight="true" outlineLevel="0" collapsed="false">
      <c r="A35" s="11" t="s">
        <v>249</v>
      </c>
      <c r="B35" s="11" t="s">
        <v>231</v>
      </c>
      <c r="C35" s="24" t="s">
        <v>250</v>
      </c>
      <c r="D35" s="11" t="s">
        <v>89</v>
      </c>
      <c r="E35" s="11" t="s">
        <v>251</v>
      </c>
      <c r="F35" s="13" t="s">
        <v>91</v>
      </c>
      <c r="G35" s="21" t="s">
        <v>16</v>
      </c>
      <c r="H35" s="24" t="s">
        <v>252</v>
      </c>
      <c r="I35" s="24" t="s">
        <v>253</v>
      </c>
      <c r="J35" s="25"/>
      <c r="K35" s="12" t="n">
        <v>0</v>
      </c>
      <c r="L35" s="26" t="s">
        <v>254</v>
      </c>
      <c r="M35" s="11" t="s">
        <v>255</v>
      </c>
    </row>
    <row r="36" customFormat="false" ht="37.5" hidden="false" customHeight="true" outlineLevel="0" collapsed="false">
      <c r="A36" s="6" t="s">
        <v>256</v>
      </c>
      <c r="B36" s="6" t="s">
        <v>231</v>
      </c>
      <c r="C36" s="20" t="s">
        <v>257</v>
      </c>
      <c r="D36" s="6" t="s">
        <v>89</v>
      </c>
      <c r="E36" s="6" t="s">
        <v>258</v>
      </c>
      <c r="F36" s="8" t="s">
        <v>91</v>
      </c>
      <c r="G36" s="21" t="s">
        <v>16</v>
      </c>
      <c r="H36" s="20" t="s">
        <v>259</v>
      </c>
      <c r="I36" s="20" t="s">
        <v>260</v>
      </c>
      <c r="J36" s="22"/>
      <c r="K36" s="7" t="n">
        <v>0</v>
      </c>
      <c r="L36" s="23" t="s">
        <v>261</v>
      </c>
      <c r="M36" s="6" t="s">
        <v>262</v>
      </c>
    </row>
    <row r="37" customFormat="false" ht="37.5" hidden="false" customHeight="true" outlineLevel="0" collapsed="false">
      <c r="A37" s="11" t="s">
        <v>263</v>
      </c>
      <c r="B37" s="11" t="s">
        <v>231</v>
      </c>
      <c r="C37" s="24" t="s">
        <v>264</v>
      </c>
      <c r="D37" s="11" t="s">
        <v>89</v>
      </c>
      <c r="E37" s="11" t="s">
        <v>258</v>
      </c>
      <c r="F37" s="13" t="s">
        <v>91</v>
      </c>
      <c r="G37" s="21" t="s">
        <v>16</v>
      </c>
      <c r="H37" s="24" t="s">
        <v>265</v>
      </c>
      <c r="I37" s="24" t="s">
        <v>266</v>
      </c>
      <c r="J37" s="25"/>
      <c r="K37" s="12" t="n">
        <v>0</v>
      </c>
      <c r="L37" s="26" t="s">
        <v>267</v>
      </c>
      <c r="M37" s="11" t="s">
        <v>268</v>
      </c>
    </row>
    <row r="39" customFormat="false" ht="21.75" hidden="false" customHeight="true" outlineLevel="0" collapsed="false">
      <c r="A39" s="19" t="s">
        <v>269</v>
      </c>
      <c r="B39" s="19"/>
      <c r="C39" s="19"/>
      <c r="D39" s="19"/>
      <c r="E39" s="19"/>
      <c r="F39" s="19"/>
      <c r="G39" s="19"/>
      <c r="H39" s="19"/>
      <c r="I39" s="19"/>
      <c r="J39" s="19"/>
      <c r="K39" s="19"/>
      <c r="L39" s="19"/>
      <c r="M39" s="19"/>
    </row>
    <row r="40" customFormat="false" ht="37.5" hidden="false" customHeight="true" outlineLevel="0" collapsed="false">
      <c r="A40" s="6" t="s">
        <v>270</v>
      </c>
      <c r="B40" s="6" t="s">
        <v>271</v>
      </c>
      <c r="C40" s="20" t="s">
        <v>272</v>
      </c>
      <c r="D40" s="6" t="s">
        <v>89</v>
      </c>
      <c r="E40" s="6" t="s">
        <v>211</v>
      </c>
      <c r="F40" s="8" t="s">
        <v>91</v>
      </c>
      <c r="G40" s="21" t="s">
        <v>16</v>
      </c>
      <c r="H40" s="20" t="s">
        <v>273</v>
      </c>
      <c r="I40" s="20" t="s">
        <v>274</v>
      </c>
      <c r="J40" s="22"/>
      <c r="K40" s="7" t="n">
        <v>0</v>
      </c>
      <c r="L40" s="23" t="s">
        <v>275</v>
      </c>
      <c r="M40" s="6" t="s">
        <v>276</v>
      </c>
    </row>
    <row r="41" customFormat="false" ht="37.5" hidden="false" customHeight="true" outlineLevel="0" collapsed="false">
      <c r="A41" s="11" t="s">
        <v>277</v>
      </c>
      <c r="B41" s="11" t="s">
        <v>271</v>
      </c>
      <c r="C41" s="24" t="s">
        <v>278</v>
      </c>
      <c r="D41" s="11" t="s">
        <v>89</v>
      </c>
      <c r="E41" s="11" t="s">
        <v>218</v>
      </c>
      <c r="F41" s="28" t="s">
        <v>105</v>
      </c>
      <c r="G41" s="21" t="s">
        <v>16</v>
      </c>
      <c r="H41" s="24" t="s">
        <v>279</v>
      </c>
      <c r="I41" s="24" t="s">
        <v>280</v>
      </c>
      <c r="J41" s="25"/>
      <c r="K41" s="12" t="n">
        <v>0</v>
      </c>
      <c r="L41" s="26" t="s">
        <v>281</v>
      </c>
      <c r="M41" s="11" t="s">
        <v>282</v>
      </c>
    </row>
    <row r="42" customFormat="false" ht="37.5" hidden="false" customHeight="true" outlineLevel="0" collapsed="false">
      <c r="A42" s="6" t="s">
        <v>283</v>
      </c>
      <c r="B42" s="6" t="s">
        <v>271</v>
      </c>
      <c r="C42" s="20" t="s">
        <v>284</v>
      </c>
      <c r="D42" s="6" t="s">
        <v>89</v>
      </c>
      <c r="E42" s="6" t="s">
        <v>218</v>
      </c>
      <c r="F42" s="27" t="s">
        <v>105</v>
      </c>
      <c r="G42" s="21" t="s">
        <v>16</v>
      </c>
      <c r="H42" s="20" t="s">
        <v>285</v>
      </c>
      <c r="I42" s="20" t="s">
        <v>286</v>
      </c>
      <c r="J42" s="22"/>
      <c r="K42" s="7" t="n">
        <v>0</v>
      </c>
      <c r="L42" s="23" t="s">
        <v>287</v>
      </c>
      <c r="M42" s="6" t="s">
        <v>288</v>
      </c>
    </row>
    <row r="43" customFormat="false" ht="37.5" hidden="false" customHeight="true" outlineLevel="0" collapsed="false">
      <c r="A43" s="11" t="s">
        <v>289</v>
      </c>
      <c r="B43" s="11" t="s">
        <v>271</v>
      </c>
      <c r="C43" s="24" t="s">
        <v>290</v>
      </c>
      <c r="D43" s="11" t="s">
        <v>89</v>
      </c>
      <c r="E43" s="11" t="s">
        <v>218</v>
      </c>
      <c r="F43" s="28" t="s">
        <v>105</v>
      </c>
      <c r="G43" s="21" t="s">
        <v>16</v>
      </c>
      <c r="H43" s="24" t="s">
        <v>291</v>
      </c>
      <c r="I43" s="24" t="s">
        <v>292</v>
      </c>
      <c r="J43" s="25"/>
      <c r="K43" s="12" t="n">
        <v>0</v>
      </c>
      <c r="L43" s="26" t="s">
        <v>293</v>
      </c>
      <c r="M43" s="11" t="s">
        <v>294</v>
      </c>
    </row>
    <row r="44" customFormat="false" ht="37.5" hidden="false" customHeight="true" outlineLevel="0" collapsed="false">
      <c r="A44" s="6" t="s">
        <v>295</v>
      </c>
      <c r="B44" s="6" t="s">
        <v>271</v>
      </c>
      <c r="C44" s="20" t="s">
        <v>296</v>
      </c>
      <c r="D44" s="6" t="s">
        <v>89</v>
      </c>
      <c r="E44" s="6" t="s">
        <v>258</v>
      </c>
      <c r="F44" s="6" t="s">
        <v>125</v>
      </c>
      <c r="G44" s="21" t="s">
        <v>16</v>
      </c>
      <c r="H44" s="20" t="s">
        <v>297</v>
      </c>
      <c r="I44" s="20" t="s">
        <v>298</v>
      </c>
      <c r="J44" s="22"/>
      <c r="K44" s="7" t="n">
        <v>0</v>
      </c>
      <c r="L44" s="23" t="s">
        <v>299</v>
      </c>
      <c r="M44" s="6" t="s">
        <v>300</v>
      </c>
    </row>
    <row r="46" customFormat="false" ht="21.75" hidden="false" customHeight="true" outlineLevel="0" collapsed="false">
      <c r="A46" s="19" t="s">
        <v>301</v>
      </c>
      <c r="B46" s="19"/>
      <c r="C46" s="19"/>
      <c r="D46" s="19"/>
      <c r="E46" s="19"/>
      <c r="F46" s="19"/>
      <c r="G46" s="19"/>
      <c r="H46" s="19"/>
      <c r="I46" s="19"/>
      <c r="J46" s="19"/>
      <c r="K46" s="19"/>
      <c r="L46" s="19"/>
      <c r="M46" s="19"/>
    </row>
    <row r="47" customFormat="false" ht="37.5" hidden="false" customHeight="true" outlineLevel="0" collapsed="false">
      <c r="A47" s="6" t="s">
        <v>302</v>
      </c>
      <c r="B47" s="6" t="s">
        <v>303</v>
      </c>
      <c r="C47" s="20" t="s">
        <v>304</v>
      </c>
      <c r="D47" s="6" t="s">
        <v>89</v>
      </c>
      <c r="E47" s="6" t="s">
        <v>218</v>
      </c>
      <c r="F47" s="27" t="s">
        <v>105</v>
      </c>
      <c r="G47" s="21" t="s">
        <v>16</v>
      </c>
      <c r="H47" s="20" t="s">
        <v>305</v>
      </c>
      <c r="I47" s="20" t="s">
        <v>306</v>
      </c>
      <c r="J47" s="22"/>
      <c r="K47" s="7" t="n">
        <v>0</v>
      </c>
      <c r="L47" s="23" t="s">
        <v>307</v>
      </c>
      <c r="M47" s="6" t="s">
        <v>308</v>
      </c>
    </row>
    <row r="48" customFormat="false" ht="37.5" hidden="false" customHeight="true" outlineLevel="0" collapsed="false">
      <c r="A48" s="11" t="s">
        <v>309</v>
      </c>
      <c r="B48" s="11" t="s">
        <v>303</v>
      </c>
      <c r="C48" s="24" t="s">
        <v>310</v>
      </c>
      <c r="D48" s="11" t="s">
        <v>89</v>
      </c>
      <c r="E48" s="11" t="s">
        <v>251</v>
      </c>
      <c r="F48" s="28" t="s">
        <v>105</v>
      </c>
      <c r="G48" s="21" t="s">
        <v>16</v>
      </c>
      <c r="H48" s="24" t="s">
        <v>311</v>
      </c>
      <c r="I48" s="24" t="s">
        <v>312</v>
      </c>
      <c r="J48" s="25"/>
      <c r="K48" s="12" t="n">
        <v>0</v>
      </c>
      <c r="L48" s="26" t="s">
        <v>313</v>
      </c>
      <c r="M48" s="11" t="s">
        <v>314</v>
      </c>
    </row>
    <row r="49" customFormat="false" ht="37.5" hidden="false" customHeight="true" outlineLevel="0" collapsed="false">
      <c r="A49" s="6" t="s">
        <v>315</v>
      </c>
      <c r="B49" s="6" t="s">
        <v>303</v>
      </c>
      <c r="C49" s="20" t="s">
        <v>316</v>
      </c>
      <c r="D49" s="6" t="s">
        <v>89</v>
      </c>
      <c r="E49" s="6" t="s">
        <v>258</v>
      </c>
      <c r="F49" s="27" t="s">
        <v>105</v>
      </c>
      <c r="G49" s="21" t="s">
        <v>16</v>
      </c>
      <c r="H49" s="20" t="s">
        <v>317</v>
      </c>
      <c r="I49" s="20" t="s">
        <v>318</v>
      </c>
      <c r="J49" s="22"/>
      <c r="K49" s="7" t="n">
        <v>0</v>
      </c>
      <c r="L49" s="23" t="s">
        <v>319</v>
      </c>
      <c r="M49" s="6" t="s">
        <v>320</v>
      </c>
    </row>
    <row r="50" customFormat="false" ht="37.5" hidden="false" customHeight="true" outlineLevel="0" collapsed="false">
      <c r="A50" s="11" t="s">
        <v>321</v>
      </c>
      <c r="B50" s="11" t="s">
        <v>303</v>
      </c>
      <c r="C50" s="24" t="s">
        <v>322</v>
      </c>
      <c r="D50" s="11" t="s">
        <v>89</v>
      </c>
      <c r="E50" s="11" t="s">
        <v>323</v>
      </c>
      <c r="F50" s="28" t="s">
        <v>105</v>
      </c>
      <c r="G50" s="21" t="s">
        <v>16</v>
      </c>
      <c r="H50" s="24" t="s">
        <v>324</v>
      </c>
      <c r="I50" s="24" t="s">
        <v>325</v>
      </c>
      <c r="J50" s="25"/>
      <c r="K50" s="12" t="n">
        <v>0</v>
      </c>
      <c r="L50" s="26" t="s">
        <v>326</v>
      </c>
      <c r="M50" s="11" t="s">
        <v>327</v>
      </c>
    </row>
    <row r="51" customFormat="false" ht="37.5" hidden="false" customHeight="true" outlineLevel="0" collapsed="false">
      <c r="A51" s="6" t="s">
        <v>328</v>
      </c>
      <c r="B51" s="6" t="s">
        <v>303</v>
      </c>
      <c r="C51" s="20" t="s">
        <v>329</v>
      </c>
      <c r="D51" s="6" t="s">
        <v>89</v>
      </c>
      <c r="E51" s="6" t="s">
        <v>330</v>
      </c>
      <c r="F51" s="8" t="s">
        <v>91</v>
      </c>
      <c r="G51" s="21" t="s">
        <v>16</v>
      </c>
      <c r="H51" s="20" t="s">
        <v>331</v>
      </c>
      <c r="I51" s="20" t="s">
        <v>332</v>
      </c>
      <c r="J51" s="22"/>
      <c r="K51" s="7" t="n">
        <v>0</v>
      </c>
      <c r="L51" s="23" t="s">
        <v>333</v>
      </c>
      <c r="M51" s="6" t="s">
        <v>334</v>
      </c>
    </row>
    <row r="53" customFormat="false" ht="21.75" hidden="false" customHeight="true" outlineLevel="0" collapsed="false">
      <c r="A53" s="19" t="s">
        <v>335</v>
      </c>
      <c r="B53" s="19"/>
      <c r="C53" s="19"/>
      <c r="D53" s="19"/>
      <c r="E53" s="19"/>
      <c r="F53" s="19"/>
      <c r="G53" s="19"/>
      <c r="H53" s="19"/>
      <c r="I53" s="19"/>
      <c r="J53" s="19"/>
      <c r="K53" s="19"/>
      <c r="L53" s="19"/>
      <c r="M53" s="19"/>
    </row>
    <row r="54" customFormat="false" ht="37.5" hidden="false" customHeight="true" outlineLevel="0" collapsed="false">
      <c r="A54" s="6" t="s">
        <v>336</v>
      </c>
      <c r="B54" s="6" t="s">
        <v>337</v>
      </c>
      <c r="C54" s="20" t="s">
        <v>338</v>
      </c>
      <c r="D54" s="6" t="s">
        <v>89</v>
      </c>
      <c r="E54" s="6" t="s">
        <v>165</v>
      </c>
      <c r="F54" s="6" t="s">
        <v>125</v>
      </c>
      <c r="G54" s="21" t="s">
        <v>16</v>
      </c>
      <c r="H54" s="20" t="s">
        <v>339</v>
      </c>
      <c r="I54" s="20" t="s">
        <v>340</v>
      </c>
      <c r="J54" s="22"/>
      <c r="K54" s="7" t="n">
        <v>0</v>
      </c>
      <c r="L54" s="23" t="s">
        <v>341</v>
      </c>
      <c r="M54" s="6" t="s">
        <v>342</v>
      </c>
    </row>
    <row r="55" customFormat="false" ht="37.5" hidden="false" customHeight="true" outlineLevel="0" collapsed="false">
      <c r="A55" s="11" t="s">
        <v>343</v>
      </c>
      <c r="B55" s="11" t="s">
        <v>337</v>
      </c>
      <c r="C55" s="24" t="s">
        <v>344</v>
      </c>
      <c r="D55" s="11" t="s">
        <v>89</v>
      </c>
      <c r="E55" s="11" t="s">
        <v>165</v>
      </c>
      <c r="F55" s="11" t="s">
        <v>125</v>
      </c>
      <c r="G55" s="21" t="s">
        <v>16</v>
      </c>
      <c r="H55" s="24" t="s">
        <v>345</v>
      </c>
      <c r="I55" s="24" t="s">
        <v>346</v>
      </c>
      <c r="J55" s="25"/>
      <c r="K55" s="12" t="n">
        <v>0</v>
      </c>
      <c r="L55" s="26" t="s">
        <v>347</v>
      </c>
      <c r="M55" s="11" t="s">
        <v>348</v>
      </c>
    </row>
    <row r="56" customFormat="false" ht="37.5" hidden="false" customHeight="true" outlineLevel="0" collapsed="false">
      <c r="A56" s="6" t="s">
        <v>349</v>
      </c>
      <c r="B56" s="6" t="s">
        <v>337</v>
      </c>
      <c r="C56" s="20" t="s">
        <v>350</v>
      </c>
      <c r="D56" s="6" t="s">
        <v>89</v>
      </c>
      <c r="E56" s="6" t="s">
        <v>184</v>
      </c>
      <c r="F56" s="6" t="s">
        <v>125</v>
      </c>
      <c r="G56" s="21" t="s">
        <v>16</v>
      </c>
      <c r="H56" s="20" t="s">
        <v>351</v>
      </c>
      <c r="I56" s="20" t="s">
        <v>352</v>
      </c>
      <c r="J56" s="22"/>
      <c r="K56" s="7" t="n">
        <v>0</v>
      </c>
      <c r="L56" s="23" t="s">
        <v>353</v>
      </c>
      <c r="M56" s="6" t="s">
        <v>354</v>
      </c>
    </row>
    <row r="57" customFormat="false" ht="37.5" hidden="false" customHeight="true" outlineLevel="0" collapsed="false">
      <c r="A57" s="11" t="s">
        <v>355</v>
      </c>
      <c r="B57" s="11" t="s">
        <v>337</v>
      </c>
      <c r="C57" s="24" t="s">
        <v>356</v>
      </c>
      <c r="D57" s="11" t="s">
        <v>89</v>
      </c>
      <c r="E57" s="11" t="s">
        <v>211</v>
      </c>
      <c r="F57" s="11" t="s">
        <v>125</v>
      </c>
      <c r="G57" s="21" t="s">
        <v>16</v>
      </c>
      <c r="H57" s="24" t="s">
        <v>357</v>
      </c>
      <c r="I57" s="24" t="s">
        <v>358</v>
      </c>
      <c r="J57" s="25"/>
      <c r="K57" s="12" t="n">
        <v>0</v>
      </c>
      <c r="L57" s="26" t="s">
        <v>359</v>
      </c>
      <c r="M57" s="11" t="s">
        <v>360</v>
      </c>
    </row>
    <row r="58" customFormat="false" ht="37.5" hidden="false" customHeight="true" outlineLevel="0" collapsed="false">
      <c r="A58" s="6" t="s">
        <v>361</v>
      </c>
      <c r="B58" s="6" t="s">
        <v>337</v>
      </c>
      <c r="C58" s="20" t="s">
        <v>362</v>
      </c>
      <c r="D58" s="6" t="s">
        <v>89</v>
      </c>
      <c r="E58" s="6" t="s">
        <v>211</v>
      </c>
      <c r="F58" s="6" t="s">
        <v>125</v>
      </c>
      <c r="G58" s="21" t="s">
        <v>16</v>
      </c>
      <c r="H58" s="20" t="s">
        <v>363</v>
      </c>
      <c r="I58" s="20" t="s">
        <v>364</v>
      </c>
      <c r="J58" s="22"/>
      <c r="K58" s="7" t="n">
        <v>0</v>
      </c>
      <c r="L58" s="23" t="s">
        <v>365</v>
      </c>
      <c r="M58" s="6" t="s">
        <v>366</v>
      </c>
    </row>
  </sheetData>
  <mergeCells count="9">
    <mergeCell ref="A1:M1"/>
    <mergeCell ref="A2:M2"/>
    <mergeCell ref="A4:M4"/>
    <mergeCell ref="A14:M14"/>
    <mergeCell ref="A23:M23"/>
    <mergeCell ref="A31:M31"/>
    <mergeCell ref="A39:M39"/>
    <mergeCell ref="A46:M46"/>
    <mergeCell ref="A53:M5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E5090"/>
    <pageSetUpPr fitToPage="false"/>
  </sheetPr>
  <dimension ref="A1:M4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0"/>
    <col collapsed="false" customWidth="true" hidden="false" outlineLevel="0" max="3" min="3" style="0" width="55"/>
    <col collapsed="false" customWidth="true" hidden="false" outlineLevel="0" max="5" min="4" style="0" width="12"/>
    <col collapsed="false" customWidth="true" hidden="false" outlineLevel="0" max="6" min="6" style="0" width="10"/>
    <col collapsed="false" customWidth="true" hidden="false" outlineLevel="0" max="7" min="7" style="0" width="14"/>
    <col collapsed="false" customWidth="true" hidden="false" outlineLevel="0" max="8" min="8" style="0" width="28"/>
    <col collapsed="false" customWidth="true" hidden="false" outlineLevel="0" max="9" min="9" style="0" width="22"/>
    <col collapsed="false" customWidth="true" hidden="false" outlineLevel="0" max="10" min="10" style="0" width="18"/>
    <col collapsed="false" customWidth="true" hidden="false" outlineLevel="0" max="11" min="11" style="0" width="10"/>
    <col collapsed="false" customWidth="true" hidden="false" outlineLevel="0" max="12" min="12" style="0" width="50"/>
    <col collapsed="false" customWidth="true" hidden="false" outlineLevel="0" max="13" min="13" style="0" width="14"/>
  </cols>
  <sheetData>
    <row r="1" customFormat="false" ht="27.75" hidden="false" customHeight="true" outlineLevel="0" collapsed="false">
      <c r="A1" s="17" t="s">
        <v>367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</row>
    <row r="2" customFormat="false" ht="21.75" hidden="false" customHeight="true" outlineLevel="0" collapsed="false">
      <c r="A2" s="18" t="s">
        <v>72</v>
      </c>
      <c r="B2" s="18"/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</row>
    <row r="3" customFormat="false" ht="24" hidden="false" customHeight="true" outlineLevel="0" collapsed="false">
      <c r="A3" s="3" t="s">
        <v>73</v>
      </c>
      <c r="B3" s="3" t="s">
        <v>74</v>
      </c>
      <c r="C3" s="3" t="s">
        <v>75</v>
      </c>
      <c r="D3" s="3" t="s">
        <v>76</v>
      </c>
      <c r="E3" s="3" t="s">
        <v>77</v>
      </c>
      <c r="F3" s="3" t="s">
        <v>78</v>
      </c>
      <c r="G3" s="3" t="s">
        <v>9</v>
      </c>
      <c r="H3" s="3" t="s">
        <v>79</v>
      </c>
      <c r="I3" s="3" t="s">
        <v>80</v>
      </c>
      <c r="J3" s="3" t="s">
        <v>81</v>
      </c>
      <c r="K3" s="3" t="s">
        <v>82</v>
      </c>
      <c r="L3" s="3" t="s">
        <v>83</v>
      </c>
      <c r="M3" s="3" t="s">
        <v>84</v>
      </c>
    </row>
    <row r="4" customFormat="false" ht="21.75" hidden="false" customHeight="true" outlineLevel="0" collapsed="false">
      <c r="A4" s="19" t="s">
        <v>368</v>
      </c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</row>
    <row r="5" customFormat="false" ht="37.5" hidden="false" customHeight="true" outlineLevel="0" collapsed="false">
      <c r="A5" s="6" t="s">
        <v>369</v>
      </c>
      <c r="B5" s="6" t="s">
        <v>370</v>
      </c>
      <c r="C5" s="20" t="s">
        <v>371</v>
      </c>
      <c r="D5" s="6" t="s">
        <v>89</v>
      </c>
      <c r="E5" s="6" t="s">
        <v>218</v>
      </c>
      <c r="F5" s="27" t="s">
        <v>105</v>
      </c>
      <c r="G5" s="21" t="s">
        <v>16</v>
      </c>
      <c r="H5" s="20" t="s">
        <v>372</v>
      </c>
      <c r="I5" s="20" t="s">
        <v>373</v>
      </c>
      <c r="J5" s="22"/>
      <c r="K5" s="7" t="n">
        <v>0</v>
      </c>
      <c r="L5" s="23" t="s">
        <v>374</v>
      </c>
      <c r="M5" s="6" t="s">
        <v>375</v>
      </c>
    </row>
    <row r="6" customFormat="false" ht="37.5" hidden="false" customHeight="true" outlineLevel="0" collapsed="false">
      <c r="A6" s="11" t="s">
        <v>376</v>
      </c>
      <c r="B6" s="11" t="s">
        <v>370</v>
      </c>
      <c r="C6" s="24" t="s">
        <v>377</v>
      </c>
      <c r="D6" s="11" t="s">
        <v>89</v>
      </c>
      <c r="E6" s="11" t="s">
        <v>251</v>
      </c>
      <c r="F6" s="28" t="s">
        <v>105</v>
      </c>
      <c r="G6" s="21" t="s">
        <v>16</v>
      </c>
      <c r="H6" s="24" t="s">
        <v>378</v>
      </c>
      <c r="I6" s="24" t="s">
        <v>379</v>
      </c>
      <c r="J6" s="25"/>
      <c r="K6" s="12" t="n">
        <v>0</v>
      </c>
      <c r="L6" s="26" t="s">
        <v>380</v>
      </c>
      <c r="M6" s="11" t="s">
        <v>381</v>
      </c>
    </row>
    <row r="7" customFormat="false" ht="37.5" hidden="false" customHeight="true" outlineLevel="0" collapsed="false">
      <c r="A7" s="6" t="s">
        <v>382</v>
      </c>
      <c r="B7" s="6" t="s">
        <v>370</v>
      </c>
      <c r="C7" s="20" t="s">
        <v>383</v>
      </c>
      <c r="D7" s="6" t="s">
        <v>89</v>
      </c>
      <c r="E7" s="6" t="s">
        <v>258</v>
      </c>
      <c r="F7" s="8" t="s">
        <v>91</v>
      </c>
      <c r="G7" s="21" t="s">
        <v>16</v>
      </c>
      <c r="H7" s="20" t="s">
        <v>384</v>
      </c>
      <c r="I7" s="20" t="s">
        <v>385</v>
      </c>
      <c r="J7" s="22"/>
      <c r="K7" s="7" t="n">
        <v>0</v>
      </c>
      <c r="L7" s="23" t="s">
        <v>386</v>
      </c>
      <c r="M7" s="6" t="s">
        <v>387</v>
      </c>
    </row>
    <row r="8" customFormat="false" ht="37.5" hidden="false" customHeight="true" outlineLevel="0" collapsed="false">
      <c r="A8" s="11" t="s">
        <v>388</v>
      </c>
      <c r="B8" s="11" t="s">
        <v>370</v>
      </c>
      <c r="C8" s="24" t="s">
        <v>389</v>
      </c>
      <c r="D8" s="11" t="s">
        <v>89</v>
      </c>
      <c r="E8" s="11" t="s">
        <v>258</v>
      </c>
      <c r="F8" s="13" t="s">
        <v>91</v>
      </c>
      <c r="G8" s="21" t="s">
        <v>16</v>
      </c>
      <c r="H8" s="24" t="s">
        <v>390</v>
      </c>
      <c r="I8" s="24" t="s">
        <v>391</v>
      </c>
      <c r="J8" s="25"/>
      <c r="K8" s="12" t="n">
        <v>0</v>
      </c>
      <c r="L8" s="26" t="s">
        <v>392</v>
      </c>
      <c r="M8" s="11" t="s">
        <v>393</v>
      </c>
    </row>
    <row r="9" customFormat="false" ht="37.5" hidden="false" customHeight="true" outlineLevel="0" collapsed="false">
      <c r="A9" s="6" t="s">
        <v>394</v>
      </c>
      <c r="B9" s="6" t="s">
        <v>370</v>
      </c>
      <c r="C9" s="20" t="s">
        <v>395</v>
      </c>
      <c r="D9" s="6" t="s">
        <v>89</v>
      </c>
      <c r="E9" s="6" t="s">
        <v>323</v>
      </c>
      <c r="F9" s="27" t="s">
        <v>105</v>
      </c>
      <c r="G9" s="21" t="s">
        <v>16</v>
      </c>
      <c r="H9" s="20" t="s">
        <v>396</v>
      </c>
      <c r="I9" s="20" t="s">
        <v>397</v>
      </c>
      <c r="J9" s="22"/>
      <c r="K9" s="7" t="n">
        <v>0</v>
      </c>
      <c r="L9" s="23" t="s">
        <v>398</v>
      </c>
      <c r="M9" s="6" t="s">
        <v>399</v>
      </c>
    </row>
    <row r="10" customFormat="false" ht="37.5" hidden="false" customHeight="true" outlineLevel="0" collapsed="false">
      <c r="A10" s="11" t="s">
        <v>400</v>
      </c>
      <c r="B10" s="11" t="s">
        <v>370</v>
      </c>
      <c r="C10" s="24" t="s">
        <v>401</v>
      </c>
      <c r="D10" s="11" t="s">
        <v>89</v>
      </c>
      <c r="E10" s="11" t="s">
        <v>258</v>
      </c>
      <c r="F10" s="28" t="s">
        <v>105</v>
      </c>
      <c r="G10" s="21" t="s">
        <v>16</v>
      </c>
      <c r="H10" s="24" t="s">
        <v>402</v>
      </c>
      <c r="I10" s="24" t="s">
        <v>403</v>
      </c>
      <c r="J10" s="25"/>
      <c r="K10" s="12" t="n">
        <v>0</v>
      </c>
      <c r="L10" s="26" t="s">
        <v>404</v>
      </c>
      <c r="M10" s="11" t="s">
        <v>405</v>
      </c>
    </row>
    <row r="12" customFormat="false" ht="21.75" hidden="false" customHeight="true" outlineLevel="0" collapsed="false">
      <c r="A12" s="19" t="s">
        <v>406</v>
      </c>
      <c r="B12" s="19"/>
      <c r="C12" s="19"/>
      <c r="D12" s="19"/>
      <c r="E12" s="19"/>
      <c r="F12" s="19"/>
      <c r="G12" s="19"/>
      <c r="H12" s="19"/>
      <c r="I12" s="19"/>
      <c r="J12" s="19"/>
      <c r="K12" s="19"/>
      <c r="L12" s="19"/>
      <c r="M12" s="19"/>
    </row>
    <row r="13" customFormat="false" ht="37.5" hidden="false" customHeight="true" outlineLevel="0" collapsed="false">
      <c r="A13" s="6" t="s">
        <v>407</v>
      </c>
      <c r="B13" s="6" t="s">
        <v>408</v>
      </c>
      <c r="C13" s="20" t="s">
        <v>409</v>
      </c>
      <c r="D13" s="6" t="s">
        <v>89</v>
      </c>
      <c r="E13" s="6" t="s">
        <v>258</v>
      </c>
      <c r="F13" s="27" t="s">
        <v>105</v>
      </c>
      <c r="G13" s="21" t="s">
        <v>16</v>
      </c>
      <c r="H13" s="20" t="s">
        <v>410</v>
      </c>
      <c r="I13" s="20" t="s">
        <v>411</v>
      </c>
      <c r="J13" s="22"/>
      <c r="K13" s="7" t="n">
        <v>0</v>
      </c>
      <c r="L13" s="23" t="s">
        <v>412</v>
      </c>
      <c r="M13" s="6" t="s">
        <v>413</v>
      </c>
    </row>
    <row r="14" customFormat="false" ht="37.5" hidden="false" customHeight="true" outlineLevel="0" collapsed="false">
      <c r="A14" s="11" t="s">
        <v>414</v>
      </c>
      <c r="B14" s="11" t="s">
        <v>408</v>
      </c>
      <c r="C14" s="24" t="s">
        <v>415</v>
      </c>
      <c r="D14" s="11" t="s">
        <v>89</v>
      </c>
      <c r="E14" s="11" t="s">
        <v>258</v>
      </c>
      <c r="F14" s="28" t="s">
        <v>105</v>
      </c>
      <c r="G14" s="21" t="s">
        <v>16</v>
      </c>
      <c r="H14" s="24" t="s">
        <v>416</v>
      </c>
      <c r="I14" s="24" t="s">
        <v>417</v>
      </c>
      <c r="J14" s="25"/>
      <c r="K14" s="12" t="n">
        <v>0</v>
      </c>
      <c r="L14" s="26" t="s">
        <v>418</v>
      </c>
      <c r="M14" s="11" t="s">
        <v>419</v>
      </c>
    </row>
    <row r="15" customFormat="false" ht="37.5" hidden="false" customHeight="true" outlineLevel="0" collapsed="false">
      <c r="A15" s="6" t="s">
        <v>420</v>
      </c>
      <c r="B15" s="6" t="s">
        <v>408</v>
      </c>
      <c r="C15" s="20" t="s">
        <v>421</v>
      </c>
      <c r="D15" s="6" t="s">
        <v>89</v>
      </c>
      <c r="E15" s="6" t="s">
        <v>323</v>
      </c>
      <c r="F15" s="27" t="s">
        <v>105</v>
      </c>
      <c r="G15" s="21" t="s">
        <v>16</v>
      </c>
      <c r="H15" s="20" t="s">
        <v>422</v>
      </c>
      <c r="I15" s="20" t="s">
        <v>423</v>
      </c>
      <c r="J15" s="22"/>
      <c r="K15" s="7" t="n">
        <v>0</v>
      </c>
      <c r="L15" s="23" t="s">
        <v>424</v>
      </c>
      <c r="M15" s="6" t="s">
        <v>425</v>
      </c>
    </row>
    <row r="16" customFormat="false" ht="37.5" hidden="false" customHeight="true" outlineLevel="0" collapsed="false">
      <c r="A16" s="11" t="s">
        <v>426</v>
      </c>
      <c r="B16" s="11" t="s">
        <v>408</v>
      </c>
      <c r="C16" s="24" t="s">
        <v>427</v>
      </c>
      <c r="D16" s="11" t="s">
        <v>89</v>
      </c>
      <c r="E16" s="11" t="s">
        <v>330</v>
      </c>
      <c r="F16" s="11" t="s">
        <v>125</v>
      </c>
      <c r="G16" s="21" t="s">
        <v>16</v>
      </c>
      <c r="H16" s="24" t="s">
        <v>428</v>
      </c>
      <c r="I16" s="24" t="s">
        <v>429</v>
      </c>
      <c r="J16" s="25"/>
      <c r="K16" s="12" t="n">
        <v>0</v>
      </c>
      <c r="L16" s="26" t="s">
        <v>430</v>
      </c>
      <c r="M16" s="11" t="s">
        <v>431</v>
      </c>
    </row>
    <row r="17" customFormat="false" ht="37.5" hidden="false" customHeight="true" outlineLevel="0" collapsed="false">
      <c r="A17" s="6" t="s">
        <v>432</v>
      </c>
      <c r="B17" s="6" t="s">
        <v>408</v>
      </c>
      <c r="C17" s="20" t="s">
        <v>433</v>
      </c>
      <c r="D17" s="6" t="s">
        <v>89</v>
      </c>
      <c r="E17" s="6" t="s">
        <v>434</v>
      </c>
      <c r="F17" s="6" t="s">
        <v>125</v>
      </c>
      <c r="G17" s="21" t="s">
        <v>16</v>
      </c>
      <c r="H17" s="20" t="s">
        <v>435</v>
      </c>
      <c r="I17" s="20" t="s">
        <v>436</v>
      </c>
      <c r="J17" s="22"/>
      <c r="K17" s="7" t="n">
        <v>0</v>
      </c>
      <c r="L17" s="23" t="s">
        <v>437</v>
      </c>
      <c r="M17" s="6" t="s">
        <v>438</v>
      </c>
    </row>
    <row r="18" customFormat="false" ht="37.5" hidden="false" customHeight="true" outlineLevel="0" collapsed="false">
      <c r="A18" s="11" t="s">
        <v>439</v>
      </c>
      <c r="B18" s="11" t="s">
        <v>408</v>
      </c>
      <c r="C18" s="24" t="s">
        <v>440</v>
      </c>
      <c r="D18" s="11" t="s">
        <v>89</v>
      </c>
      <c r="E18" s="11" t="s">
        <v>441</v>
      </c>
      <c r="F18" s="28" t="s">
        <v>105</v>
      </c>
      <c r="G18" s="21" t="s">
        <v>16</v>
      </c>
      <c r="H18" s="24" t="s">
        <v>442</v>
      </c>
      <c r="I18" s="24" t="s">
        <v>443</v>
      </c>
      <c r="J18" s="25"/>
      <c r="K18" s="12" t="n">
        <v>0</v>
      </c>
      <c r="L18" s="26" t="s">
        <v>444</v>
      </c>
      <c r="M18" s="11" t="s">
        <v>445</v>
      </c>
    </row>
    <row r="20" customFormat="false" ht="21.75" hidden="false" customHeight="true" outlineLevel="0" collapsed="false">
      <c r="A20" s="19" t="s">
        <v>446</v>
      </c>
      <c r="B20" s="19"/>
      <c r="C20" s="19"/>
      <c r="D20" s="19"/>
      <c r="E20" s="19"/>
      <c r="F20" s="19"/>
      <c r="G20" s="19"/>
      <c r="H20" s="19"/>
      <c r="I20" s="19"/>
      <c r="J20" s="19"/>
      <c r="K20" s="19"/>
      <c r="L20" s="19"/>
      <c r="M20" s="19"/>
    </row>
    <row r="21" customFormat="false" ht="37.5" hidden="false" customHeight="true" outlineLevel="0" collapsed="false">
      <c r="A21" s="6" t="s">
        <v>447</v>
      </c>
      <c r="B21" s="6" t="s">
        <v>448</v>
      </c>
      <c r="C21" s="20" t="s">
        <v>449</v>
      </c>
      <c r="D21" s="6" t="s">
        <v>89</v>
      </c>
      <c r="E21" s="6" t="s">
        <v>258</v>
      </c>
      <c r="F21" s="27" t="s">
        <v>105</v>
      </c>
      <c r="G21" s="21" t="s">
        <v>16</v>
      </c>
      <c r="H21" s="20" t="s">
        <v>450</v>
      </c>
      <c r="I21" s="20" t="s">
        <v>451</v>
      </c>
      <c r="J21" s="22"/>
      <c r="K21" s="7" t="n">
        <v>0</v>
      </c>
      <c r="L21" s="23" t="s">
        <v>452</v>
      </c>
      <c r="M21" s="6" t="s">
        <v>453</v>
      </c>
    </row>
    <row r="22" customFormat="false" ht="37.5" hidden="false" customHeight="true" outlineLevel="0" collapsed="false">
      <c r="A22" s="11" t="s">
        <v>454</v>
      </c>
      <c r="B22" s="11" t="s">
        <v>448</v>
      </c>
      <c r="C22" s="24" t="s">
        <v>455</v>
      </c>
      <c r="D22" s="11" t="s">
        <v>89</v>
      </c>
      <c r="E22" s="11" t="s">
        <v>323</v>
      </c>
      <c r="F22" s="28" t="s">
        <v>105</v>
      </c>
      <c r="G22" s="21" t="s">
        <v>16</v>
      </c>
      <c r="H22" s="24" t="s">
        <v>456</v>
      </c>
      <c r="I22" s="24" t="s">
        <v>457</v>
      </c>
      <c r="J22" s="25"/>
      <c r="K22" s="12" t="n">
        <v>0</v>
      </c>
      <c r="L22" s="26" t="s">
        <v>458</v>
      </c>
      <c r="M22" s="11" t="s">
        <v>459</v>
      </c>
    </row>
    <row r="23" customFormat="false" ht="37.5" hidden="false" customHeight="true" outlineLevel="0" collapsed="false">
      <c r="A23" s="6" t="s">
        <v>460</v>
      </c>
      <c r="B23" s="6" t="s">
        <v>448</v>
      </c>
      <c r="C23" s="20" t="s">
        <v>461</v>
      </c>
      <c r="D23" s="6" t="s">
        <v>89</v>
      </c>
      <c r="E23" s="6" t="s">
        <v>330</v>
      </c>
      <c r="F23" s="8" t="s">
        <v>91</v>
      </c>
      <c r="G23" s="21" t="s">
        <v>16</v>
      </c>
      <c r="H23" s="20" t="s">
        <v>462</v>
      </c>
      <c r="I23" s="20" t="s">
        <v>463</v>
      </c>
      <c r="J23" s="22"/>
      <c r="K23" s="7" t="n">
        <v>0</v>
      </c>
      <c r="L23" s="23" t="s">
        <v>464</v>
      </c>
      <c r="M23" s="6" t="s">
        <v>465</v>
      </c>
    </row>
    <row r="24" customFormat="false" ht="37.5" hidden="false" customHeight="true" outlineLevel="0" collapsed="false">
      <c r="A24" s="11" t="s">
        <v>466</v>
      </c>
      <c r="B24" s="11" t="s">
        <v>448</v>
      </c>
      <c r="C24" s="24" t="s">
        <v>467</v>
      </c>
      <c r="D24" s="11" t="s">
        <v>89</v>
      </c>
      <c r="E24" s="11" t="s">
        <v>330</v>
      </c>
      <c r="F24" s="28" t="s">
        <v>105</v>
      </c>
      <c r="G24" s="21" t="s">
        <v>16</v>
      </c>
      <c r="H24" s="24" t="s">
        <v>468</v>
      </c>
      <c r="I24" s="24" t="s">
        <v>469</v>
      </c>
      <c r="J24" s="25"/>
      <c r="K24" s="12" t="n">
        <v>0</v>
      </c>
      <c r="L24" s="26" t="s">
        <v>470</v>
      </c>
      <c r="M24" s="11" t="s">
        <v>471</v>
      </c>
    </row>
    <row r="25" customFormat="false" ht="37.5" hidden="false" customHeight="true" outlineLevel="0" collapsed="false">
      <c r="A25" s="6" t="s">
        <v>472</v>
      </c>
      <c r="B25" s="6" t="s">
        <v>448</v>
      </c>
      <c r="C25" s="20" t="s">
        <v>473</v>
      </c>
      <c r="D25" s="6" t="s">
        <v>89</v>
      </c>
      <c r="E25" s="6" t="s">
        <v>330</v>
      </c>
      <c r="F25" s="6" t="s">
        <v>125</v>
      </c>
      <c r="G25" s="21" t="s">
        <v>16</v>
      </c>
      <c r="H25" s="20" t="s">
        <v>474</v>
      </c>
      <c r="I25" s="20" t="s">
        <v>475</v>
      </c>
      <c r="J25" s="22"/>
      <c r="K25" s="7" t="n">
        <v>0</v>
      </c>
      <c r="L25" s="23" t="s">
        <v>476</v>
      </c>
      <c r="M25" s="6" t="s">
        <v>477</v>
      </c>
    </row>
    <row r="26" customFormat="false" ht="37.5" hidden="false" customHeight="true" outlineLevel="0" collapsed="false">
      <c r="A26" s="11" t="s">
        <v>478</v>
      </c>
      <c r="B26" s="11" t="s">
        <v>448</v>
      </c>
      <c r="C26" s="24" t="s">
        <v>479</v>
      </c>
      <c r="D26" s="11" t="s">
        <v>89</v>
      </c>
      <c r="E26" s="11" t="s">
        <v>441</v>
      </c>
      <c r="F26" s="11" t="s">
        <v>125</v>
      </c>
      <c r="G26" s="21" t="s">
        <v>16</v>
      </c>
      <c r="H26" s="24" t="s">
        <v>480</v>
      </c>
      <c r="I26" s="24" t="s">
        <v>481</v>
      </c>
      <c r="J26" s="25"/>
      <c r="K26" s="12" t="n">
        <v>0</v>
      </c>
      <c r="L26" s="26" t="s">
        <v>482</v>
      </c>
      <c r="M26" s="11" t="s">
        <v>483</v>
      </c>
    </row>
    <row r="28" customFormat="false" ht="21.75" hidden="false" customHeight="true" outlineLevel="0" collapsed="false">
      <c r="A28" s="19" t="s">
        <v>484</v>
      </c>
      <c r="B28" s="19"/>
      <c r="C28" s="19"/>
      <c r="D28" s="19"/>
      <c r="E28" s="19"/>
      <c r="F28" s="19"/>
      <c r="G28" s="19"/>
      <c r="H28" s="19"/>
      <c r="I28" s="19"/>
      <c r="J28" s="19"/>
      <c r="K28" s="19"/>
      <c r="L28" s="19"/>
      <c r="M28" s="19"/>
    </row>
    <row r="29" customFormat="false" ht="37.5" hidden="false" customHeight="true" outlineLevel="0" collapsed="false">
      <c r="A29" s="6" t="s">
        <v>485</v>
      </c>
      <c r="B29" s="6" t="s">
        <v>486</v>
      </c>
      <c r="C29" s="20" t="s">
        <v>487</v>
      </c>
      <c r="D29" s="6" t="s">
        <v>89</v>
      </c>
      <c r="E29" s="6" t="s">
        <v>330</v>
      </c>
      <c r="F29" s="27" t="s">
        <v>105</v>
      </c>
      <c r="G29" s="21" t="s">
        <v>16</v>
      </c>
      <c r="H29" s="20" t="s">
        <v>488</v>
      </c>
      <c r="I29" s="20" t="s">
        <v>489</v>
      </c>
      <c r="J29" s="22"/>
      <c r="K29" s="7" t="n">
        <v>0</v>
      </c>
      <c r="L29" s="23" t="s">
        <v>490</v>
      </c>
      <c r="M29" s="6" t="s">
        <v>491</v>
      </c>
    </row>
    <row r="30" customFormat="false" ht="37.5" hidden="false" customHeight="true" outlineLevel="0" collapsed="false">
      <c r="A30" s="11" t="s">
        <v>492</v>
      </c>
      <c r="B30" s="11" t="s">
        <v>486</v>
      </c>
      <c r="C30" s="24" t="s">
        <v>493</v>
      </c>
      <c r="D30" s="11" t="s">
        <v>89</v>
      </c>
      <c r="E30" s="11" t="s">
        <v>441</v>
      </c>
      <c r="F30" s="13" t="s">
        <v>91</v>
      </c>
      <c r="G30" s="21" t="s">
        <v>16</v>
      </c>
      <c r="H30" s="24" t="s">
        <v>494</v>
      </c>
      <c r="I30" s="24" t="s">
        <v>495</v>
      </c>
      <c r="J30" s="25"/>
      <c r="K30" s="12" t="n">
        <v>0</v>
      </c>
      <c r="L30" s="26" t="s">
        <v>496</v>
      </c>
      <c r="M30" s="11" t="s">
        <v>497</v>
      </c>
    </row>
    <row r="31" customFormat="false" ht="37.5" hidden="false" customHeight="true" outlineLevel="0" collapsed="false">
      <c r="A31" s="6" t="s">
        <v>498</v>
      </c>
      <c r="B31" s="6" t="s">
        <v>486</v>
      </c>
      <c r="C31" s="20" t="s">
        <v>499</v>
      </c>
      <c r="D31" s="6" t="s">
        <v>89</v>
      </c>
      <c r="E31" s="6" t="s">
        <v>441</v>
      </c>
      <c r="F31" s="27" t="s">
        <v>105</v>
      </c>
      <c r="G31" s="21" t="s">
        <v>16</v>
      </c>
      <c r="H31" s="20" t="s">
        <v>500</v>
      </c>
      <c r="I31" s="20" t="s">
        <v>501</v>
      </c>
      <c r="J31" s="22"/>
      <c r="K31" s="7" t="n">
        <v>0</v>
      </c>
      <c r="L31" s="23" t="s">
        <v>502</v>
      </c>
      <c r="M31" s="6" t="s">
        <v>503</v>
      </c>
    </row>
    <row r="32" customFormat="false" ht="37.5" hidden="false" customHeight="true" outlineLevel="0" collapsed="false">
      <c r="A32" s="11" t="s">
        <v>504</v>
      </c>
      <c r="B32" s="11" t="s">
        <v>486</v>
      </c>
      <c r="C32" s="24" t="s">
        <v>505</v>
      </c>
      <c r="D32" s="11" t="s">
        <v>89</v>
      </c>
      <c r="E32" s="11" t="s">
        <v>506</v>
      </c>
      <c r="F32" s="28" t="s">
        <v>105</v>
      </c>
      <c r="G32" s="21" t="s">
        <v>16</v>
      </c>
      <c r="H32" s="24" t="s">
        <v>507</v>
      </c>
      <c r="I32" s="24" t="s">
        <v>508</v>
      </c>
      <c r="J32" s="25"/>
      <c r="K32" s="12" t="n">
        <v>0</v>
      </c>
      <c r="L32" s="26" t="s">
        <v>509</v>
      </c>
      <c r="M32" s="11" t="s">
        <v>510</v>
      </c>
    </row>
    <row r="33" customFormat="false" ht="37.5" hidden="false" customHeight="true" outlineLevel="0" collapsed="false">
      <c r="A33" s="6" t="s">
        <v>511</v>
      </c>
      <c r="B33" s="6" t="s">
        <v>486</v>
      </c>
      <c r="C33" s="20" t="s">
        <v>512</v>
      </c>
      <c r="D33" s="6" t="s">
        <v>89</v>
      </c>
      <c r="E33" s="6" t="s">
        <v>506</v>
      </c>
      <c r="F33" s="27" t="s">
        <v>105</v>
      </c>
      <c r="G33" s="21" t="s">
        <v>16</v>
      </c>
      <c r="H33" s="20" t="s">
        <v>513</v>
      </c>
      <c r="I33" s="20" t="s">
        <v>514</v>
      </c>
      <c r="J33" s="22"/>
      <c r="K33" s="7" t="n">
        <v>0</v>
      </c>
      <c r="L33" s="23" t="s">
        <v>515</v>
      </c>
      <c r="M33" s="6" t="s">
        <v>516</v>
      </c>
    </row>
    <row r="35" customFormat="false" ht="21.75" hidden="false" customHeight="true" outlineLevel="0" collapsed="false">
      <c r="A35" s="19" t="s">
        <v>517</v>
      </c>
      <c r="B35" s="19"/>
      <c r="C35" s="19"/>
      <c r="D35" s="19"/>
      <c r="E35" s="19"/>
      <c r="F35" s="19"/>
      <c r="G35" s="19"/>
      <c r="H35" s="19"/>
      <c r="I35" s="19"/>
      <c r="J35" s="19"/>
      <c r="K35" s="19"/>
      <c r="L35" s="19"/>
      <c r="M35" s="19"/>
    </row>
    <row r="36" customFormat="false" ht="37.5" hidden="false" customHeight="true" outlineLevel="0" collapsed="false">
      <c r="A36" s="6" t="s">
        <v>518</v>
      </c>
      <c r="B36" s="6" t="s">
        <v>519</v>
      </c>
      <c r="C36" s="20" t="s">
        <v>520</v>
      </c>
      <c r="D36" s="6" t="s">
        <v>89</v>
      </c>
      <c r="E36" s="6" t="s">
        <v>258</v>
      </c>
      <c r="F36" s="27" t="s">
        <v>105</v>
      </c>
      <c r="G36" s="21" t="s">
        <v>16</v>
      </c>
      <c r="H36" s="20" t="s">
        <v>521</v>
      </c>
      <c r="I36" s="20" t="s">
        <v>522</v>
      </c>
      <c r="J36" s="22"/>
      <c r="K36" s="7" t="n">
        <v>0</v>
      </c>
      <c r="L36" s="23" t="s">
        <v>523</v>
      </c>
      <c r="M36" s="6" t="s">
        <v>524</v>
      </c>
    </row>
    <row r="37" customFormat="false" ht="37.5" hidden="false" customHeight="true" outlineLevel="0" collapsed="false">
      <c r="A37" s="11" t="s">
        <v>525</v>
      </c>
      <c r="B37" s="11" t="s">
        <v>519</v>
      </c>
      <c r="C37" s="24" t="s">
        <v>526</v>
      </c>
      <c r="D37" s="11" t="s">
        <v>89</v>
      </c>
      <c r="E37" s="11" t="s">
        <v>258</v>
      </c>
      <c r="F37" s="28" t="s">
        <v>105</v>
      </c>
      <c r="G37" s="21" t="s">
        <v>16</v>
      </c>
      <c r="H37" s="24" t="s">
        <v>527</v>
      </c>
      <c r="I37" s="24" t="s">
        <v>528</v>
      </c>
      <c r="J37" s="25"/>
      <c r="K37" s="12" t="n">
        <v>0</v>
      </c>
      <c r="L37" s="26" t="s">
        <v>529</v>
      </c>
      <c r="M37" s="11" t="s">
        <v>530</v>
      </c>
    </row>
    <row r="38" customFormat="false" ht="37.5" hidden="false" customHeight="true" outlineLevel="0" collapsed="false">
      <c r="A38" s="6" t="s">
        <v>531</v>
      </c>
      <c r="B38" s="6" t="s">
        <v>519</v>
      </c>
      <c r="C38" s="20" t="s">
        <v>532</v>
      </c>
      <c r="D38" s="6" t="s">
        <v>89</v>
      </c>
      <c r="E38" s="6" t="s">
        <v>533</v>
      </c>
      <c r="F38" s="27" t="s">
        <v>105</v>
      </c>
      <c r="G38" s="21" t="s">
        <v>16</v>
      </c>
      <c r="H38" s="20" t="s">
        <v>534</v>
      </c>
      <c r="I38" s="20" t="s">
        <v>535</v>
      </c>
      <c r="J38" s="22"/>
      <c r="K38" s="7" t="n">
        <v>0</v>
      </c>
      <c r="L38" s="23" t="s">
        <v>536</v>
      </c>
      <c r="M38" s="6" t="s">
        <v>537</v>
      </c>
    </row>
    <row r="39" customFormat="false" ht="37.5" hidden="false" customHeight="true" outlineLevel="0" collapsed="false">
      <c r="A39" s="11" t="s">
        <v>538</v>
      </c>
      <c r="B39" s="11" t="s">
        <v>519</v>
      </c>
      <c r="C39" s="24" t="s">
        <v>539</v>
      </c>
      <c r="D39" s="11" t="s">
        <v>89</v>
      </c>
      <c r="E39" s="11" t="s">
        <v>533</v>
      </c>
      <c r="F39" s="11" t="s">
        <v>125</v>
      </c>
      <c r="G39" s="21" t="s">
        <v>16</v>
      </c>
      <c r="H39" s="24" t="s">
        <v>540</v>
      </c>
      <c r="I39" s="24" t="s">
        <v>541</v>
      </c>
      <c r="J39" s="25"/>
      <c r="K39" s="12" t="n">
        <v>0</v>
      </c>
      <c r="L39" s="26" t="s">
        <v>542</v>
      </c>
      <c r="M39" s="11" t="s">
        <v>543</v>
      </c>
    </row>
    <row r="40" customFormat="false" ht="37.5" hidden="false" customHeight="true" outlineLevel="0" collapsed="false">
      <c r="A40" s="6" t="s">
        <v>544</v>
      </c>
      <c r="B40" s="6" t="s">
        <v>519</v>
      </c>
      <c r="C40" s="20" t="s">
        <v>545</v>
      </c>
      <c r="D40" s="6" t="s">
        <v>89</v>
      </c>
      <c r="E40" s="6" t="s">
        <v>533</v>
      </c>
      <c r="F40" s="27" t="s">
        <v>105</v>
      </c>
      <c r="G40" s="21" t="s">
        <v>16</v>
      </c>
      <c r="H40" s="20" t="s">
        <v>546</v>
      </c>
      <c r="I40" s="20" t="s">
        <v>547</v>
      </c>
      <c r="J40" s="22"/>
      <c r="K40" s="7" t="n">
        <v>0</v>
      </c>
      <c r="L40" s="23" t="s">
        <v>548</v>
      </c>
      <c r="M40" s="6" t="s">
        <v>549</v>
      </c>
    </row>
  </sheetData>
  <mergeCells count="7">
    <mergeCell ref="A1:M1"/>
    <mergeCell ref="A2:M2"/>
    <mergeCell ref="A4:M4"/>
    <mergeCell ref="A12:M12"/>
    <mergeCell ref="A20:M20"/>
    <mergeCell ref="A28:M28"/>
    <mergeCell ref="A35:M3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E5090"/>
    <pageSetUpPr fitToPage="false"/>
  </sheetPr>
  <dimension ref="A1:M3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0"/>
    <col collapsed="false" customWidth="true" hidden="false" outlineLevel="0" max="3" min="3" style="0" width="55"/>
    <col collapsed="false" customWidth="true" hidden="false" outlineLevel="0" max="5" min="4" style="0" width="12"/>
    <col collapsed="false" customWidth="true" hidden="false" outlineLevel="0" max="6" min="6" style="0" width="10"/>
    <col collapsed="false" customWidth="true" hidden="false" outlineLevel="0" max="7" min="7" style="0" width="14"/>
    <col collapsed="false" customWidth="true" hidden="false" outlineLevel="0" max="8" min="8" style="0" width="28"/>
    <col collapsed="false" customWidth="true" hidden="false" outlineLevel="0" max="9" min="9" style="0" width="22"/>
    <col collapsed="false" customWidth="true" hidden="false" outlineLevel="0" max="10" min="10" style="0" width="18"/>
    <col collapsed="false" customWidth="true" hidden="false" outlineLevel="0" max="11" min="11" style="0" width="10"/>
    <col collapsed="false" customWidth="true" hidden="false" outlineLevel="0" max="12" min="12" style="0" width="50"/>
    <col collapsed="false" customWidth="true" hidden="false" outlineLevel="0" max="13" min="13" style="0" width="14"/>
  </cols>
  <sheetData>
    <row r="1" customFormat="false" ht="27.75" hidden="false" customHeight="true" outlineLevel="0" collapsed="false">
      <c r="A1" s="17" t="s">
        <v>550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</row>
    <row r="2" customFormat="false" ht="21.75" hidden="false" customHeight="true" outlineLevel="0" collapsed="false">
      <c r="A2" s="18" t="s">
        <v>72</v>
      </c>
      <c r="B2" s="18"/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</row>
    <row r="3" customFormat="false" ht="24" hidden="false" customHeight="true" outlineLevel="0" collapsed="false">
      <c r="A3" s="3" t="s">
        <v>73</v>
      </c>
      <c r="B3" s="3" t="s">
        <v>74</v>
      </c>
      <c r="C3" s="3" t="s">
        <v>75</v>
      </c>
      <c r="D3" s="3" t="s">
        <v>76</v>
      </c>
      <c r="E3" s="3" t="s">
        <v>77</v>
      </c>
      <c r="F3" s="3" t="s">
        <v>78</v>
      </c>
      <c r="G3" s="3" t="s">
        <v>9</v>
      </c>
      <c r="H3" s="3" t="s">
        <v>79</v>
      </c>
      <c r="I3" s="3" t="s">
        <v>80</v>
      </c>
      <c r="J3" s="3" t="s">
        <v>81</v>
      </c>
      <c r="K3" s="3" t="s">
        <v>82</v>
      </c>
      <c r="L3" s="3" t="s">
        <v>83</v>
      </c>
      <c r="M3" s="3" t="s">
        <v>84</v>
      </c>
    </row>
    <row r="4" customFormat="false" ht="21.75" hidden="false" customHeight="true" outlineLevel="0" collapsed="false">
      <c r="A4" s="19" t="s">
        <v>551</v>
      </c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</row>
    <row r="5" customFormat="false" ht="37.5" hidden="false" customHeight="true" outlineLevel="0" collapsed="false">
      <c r="A5" s="6" t="s">
        <v>552</v>
      </c>
      <c r="B5" s="6" t="s">
        <v>553</v>
      </c>
      <c r="C5" s="20" t="s">
        <v>554</v>
      </c>
      <c r="D5" s="6" t="s">
        <v>89</v>
      </c>
      <c r="E5" s="6" t="s">
        <v>218</v>
      </c>
      <c r="F5" s="8" t="s">
        <v>91</v>
      </c>
      <c r="G5" s="21" t="s">
        <v>16</v>
      </c>
      <c r="H5" s="20" t="s">
        <v>555</v>
      </c>
      <c r="I5" s="20" t="s">
        <v>556</v>
      </c>
      <c r="J5" s="22"/>
      <c r="K5" s="7" t="n">
        <v>0</v>
      </c>
      <c r="L5" s="23" t="s">
        <v>557</v>
      </c>
      <c r="M5" s="6" t="s">
        <v>558</v>
      </c>
    </row>
    <row r="6" customFormat="false" ht="37.5" hidden="false" customHeight="true" outlineLevel="0" collapsed="false">
      <c r="A6" s="11" t="s">
        <v>559</v>
      </c>
      <c r="B6" s="11" t="s">
        <v>553</v>
      </c>
      <c r="C6" s="24" t="s">
        <v>560</v>
      </c>
      <c r="D6" s="11" t="s">
        <v>89</v>
      </c>
      <c r="E6" s="11" t="s">
        <v>251</v>
      </c>
      <c r="F6" s="13" t="s">
        <v>91</v>
      </c>
      <c r="G6" s="21" t="s">
        <v>16</v>
      </c>
      <c r="H6" s="24" t="s">
        <v>561</v>
      </c>
      <c r="I6" s="24" t="s">
        <v>562</v>
      </c>
      <c r="J6" s="25"/>
      <c r="K6" s="12" t="n">
        <v>0</v>
      </c>
      <c r="L6" s="26" t="s">
        <v>563</v>
      </c>
      <c r="M6" s="11" t="s">
        <v>564</v>
      </c>
    </row>
    <row r="7" customFormat="false" ht="37.5" hidden="false" customHeight="true" outlineLevel="0" collapsed="false">
      <c r="A7" s="6" t="s">
        <v>565</v>
      </c>
      <c r="B7" s="6" t="s">
        <v>553</v>
      </c>
      <c r="C7" s="20" t="s">
        <v>566</v>
      </c>
      <c r="D7" s="6" t="s">
        <v>89</v>
      </c>
      <c r="E7" s="6" t="s">
        <v>258</v>
      </c>
      <c r="F7" s="8" t="s">
        <v>91</v>
      </c>
      <c r="G7" s="21" t="s">
        <v>16</v>
      </c>
      <c r="H7" s="20" t="s">
        <v>567</v>
      </c>
      <c r="I7" s="20" t="s">
        <v>568</v>
      </c>
      <c r="J7" s="22"/>
      <c r="K7" s="7" t="n">
        <v>0</v>
      </c>
      <c r="L7" s="23" t="s">
        <v>569</v>
      </c>
      <c r="M7" s="6" t="s">
        <v>570</v>
      </c>
    </row>
    <row r="8" customFormat="false" ht="37.5" hidden="false" customHeight="true" outlineLevel="0" collapsed="false">
      <c r="A8" s="11" t="s">
        <v>571</v>
      </c>
      <c r="B8" s="11" t="s">
        <v>553</v>
      </c>
      <c r="C8" s="24" t="s">
        <v>572</v>
      </c>
      <c r="D8" s="11" t="s">
        <v>89</v>
      </c>
      <c r="E8" s="11" t="s">
        <v>258</v>
      </c>
      <c r="F8" s="28" t="s">
        <v>105</v>
      </c>
      <c r="G8" s="21" t="s">
        <v>16</v>
      </c>
      <c r="H8" s="24" t="s">
        <v>573</v>
      </c>
      <c r="I8" s="24" t="s">
        <v>574</v>
      </c>
      <c r="J8" s="25"/>
      <c r="K8" s="12" t="n">
        <v>0</v>
      </c>
      <c r="L8" s="26" t="s">
        <v>575</v>
      </c>
      <c r="M8" s="11" t="s">
        <v>576</v>
      </c>
    </row>
    <row r="9" customFormat="false" ht="37.5" hidden="false" customHeight="true" outlineLevel="0" collapsed="false">
      <c r="A9" s="6" t="s">
        <v>577</v>
      </c>
      <c r="B9" s="6" t="s">
        <v>553</v>
      </c>
      <c r="C9" s="20" t="s">
        <v>578</v>
      </c>
      <c r="D9" s="6" t="s">
        <v>89</v>
      </c>
      <c r="E9" s="6" t="s">
        <v>323</v>
      </c>
      <c r="F9" s="27" t="s">
        <v>105</v>
      </c>
      <c r="G9" s="21" t="s">
        <v>16</v>
      </c>
      <c r="H9" s="20" t="s">
        <v>579</v>
      </c>
      <c r="I9" s="20" t="s">
        <v>580</v>
      </c>
      <c r="J9" s="22"/>
      <c r="K9" s="7" t="n">
        <v>0</v>
      </c>
      <c r="L9" s="23" t="s">
        <v>581</v>
      </c>
      <c r="M9" s="6" t="s">
        <v>582</v>
      </c>
    </row>
    <row r="10" customFormat="false" ht="37.5" hidden="false" customHeight="true" outlineLevel="0" collapsed="false">
      <c r="A10" s="11" t="s">
        <v>583</v>
      </c>
      <c r="B10" s="11" t="s">
        <v>553</v>
      </c>
      <c r="C10" s="24" t="s">
        <v>584</v>
      </c>
      <c r="D10" s="11" t="s">
        <v>89</v>
      </c>
      <c r="E10" s="11" t="s">
        <v>330</v>
      </c>
      <c r="F10" s="11" t="s">
        <v>125</v>
      </c>
      <c r="G10" s="21" t="s">
        <v>16</v>
      </c>
      <c r="H10" s="24" t="s">
        <v>416</v>
      </c>
      <c r="I10" s="24" t="s">
        <v>585</v>
      </c>
      <c r="J10" s="25"/>
      <c r="K10" s="12" t="n">
        <v>0</v>
      </c>
      <c r="L10" s="26" t="s">
        <v>586</v>
      </c>
      <c r="M10" s="11" t="s">
        <v>587</v>
      </c>
    </row>
    <row r="12" customFormat="false" ht="21.75" hidden="false" customHeight="true" outlineLevel="0" collapsed="false">
      <c r="A12" s="19" t="s">
        <v>588</v>
      </c>
      <c r="B12" s="19"/>
      <c r="C12" s="19"/>
      <c r="D12" s="19"/>
      <c r="E12" s="19"/>
      <c r="F12" s="19"/>
      <c r="G12" s="19"/>
      <c r="H12" s="19"/>
      <c r="I12" s="19"/>
      <c r="J12" s="19"/>
      <c r="K12" s="19"/>
      <c r="L12" s="19"/>
      <c r="M12" s="19"/>
    </row>
    <row r="13" customFormat="false" ht="37.5" hidden="false" customHeight="true" outlineLevel="0" collapsed="false">
      <c r="A13" s="6" t="s">
        <v>589</v>
      </c>
      <c r="B13" s="6" t="s">
        <v>590</v>
      </c>
      <c r="C13" s="20" t="s">
        <v>591</v>
      </c>
      <c r="D13" s="6" t="s">
        <v>89</v>
      </c>
      <c r="E13" s="6" t="s">
        <v>258</v>
      </c>
      <c r="F13" s="8" t="s">
        <v>91</v>
      </c>
      <c r="G13" s="21" t="s">
        <v>16</v>
      </c>
      <c r="H13" s="20" t="s">
        <v>592</v>
      </c>
      <c r="I13" s="20" t="s">
        <v>593</v>
      </c>
      <c r="J13" s="22"/>
      <c r="K13" s="7" t="n">
        <v>0</v>
      </c>
      <c r="L13" s="23" t="s">
        <v>594</v>
      </c>
      <c r="M13" s="6" t="s">
        <v>595</v>
      </c>
    </row>
    <row r="14" customFormat="false" ht="37.5" hidden="false" customHeight="true" outlineLevel="0" collapsed="false">
      <c r="A14" s="11" t="s">
        <v>596</v>
      </c>
      <c r="B14" s="11" t="s">
        <v>590</v>
      </c>
      <c r="C14" s="24" t="s">
        <v>597</v>
      </c>
      <c r="D14" s="11" t="s">
        <v>89</v>
      </c>
      <c r="E14" s="11" t="s">
        <v>434</v>
      </c>
      <c r="F14" s="13" t="s">
        <v>91</v>
      </c>
      <c r="G14" s="21" t="s">
        <v>16</v>
      </c>
      <c r="H14" s="24" t="s">
        <v>598</v>
      </c>
      <c r="I14" s="24" t="s">
        <v>599</v>
      </c>
      <c r="J14" s="25"/>
      <c r="K14" s="12" t="n">
        <v>0</v>
      </c>
      <c r="L14" s="26" t="s">
        <v>600</v>
      </c>
      <c r="M14" s="11" t="s">
        <v>601</v>
      </c>
    </row>
    <row r="15" customFormat="false" ht="37.5" hidden="false" customHeight="true" outlineLevel="0" collapsed="false">
      <c r="A15" s="6" t="s">
        <v>602</v>
      </c>
      <c r="B15" s="6" t="s">
        <v>590</v>
      </c>
      <c r="C15" s="20" t="s">
        <v>603</v>
      </c>
      <c r="D15" s="6" t="s">
        <v>89</v>
      </c>
      <c r="E15" s="6" t="s">
        <v>441</v>
      </c>
      <c r="F15" s="8" t="s">
        <v>91</v>
      </c>
      <c r="G15" s="21" t="s">
        <v>16</v>
      </c>
      <c r="H15" s="20" t="s">
        <v>604</v>
      </c>
      <c r="I15" s="20" t="s">
        <v>605</v>
      </c>
      <c r="J15" s="22"/>
      <c r="K15" s="7" t="n">
        <v>0</v>
      </c>
      <c r="L15" s="23" t="s">
        <v>606</v>
      </c>
      <c r="M15" s="6" t="s">
        <v>607</v>
      </c>
    </row>
    <row r="16" customFormat="false" ht="37.5" hidden="false" customHeight="true" outlineLevel="0" collapsed="false">
      <c r="A16" s="11" t="s">
        <v>608</v>
      </c>
      <c r="B16" s="11" t="s">
        <v>590</v>
      </c>
      <c r="C16" s="24" t="s">
        <v>609</v>
      </c>
      <c r="D16" s="11" t="s">
        <v>89</v>
      </c>
      <c r="E16" s="11" t="s">
        <v>506</v>
      </c>
      <c r="F16" s="28" t="s">
        <v>105</v>
      </c>
      <c r="G16" s="21" t="s">
        <v>16</v>
      </c>
      <c r="H16" s="24" t="s">
        <v>610</v>
      </c>
      <c r="I16" s="24" t="s">
        <v>611</v>
      </c>
      <c r="J16" s="25"/>
      <c r="K16" s="12" t="n">
        <v>0</v>
      </c>
      <c r="L16" s="26" t="s">
        <v>612</v>
      </c>
      <c r="M16" s="11" t="s">
        <v>613</v>
      </c>
    </row>
    <row r="17" customFormat="false" ht="37.5" hidden="false" customHeight="true" outlineLevel="0" collapsed="false">
      <c r="A17" s="6" t="s">
        <v>614</v>
      </c>
      <c r="B17" s="6" t="s">
        <v>590</v>
      </c>
      <c r="C17" s="20" t="s">
        <v>615</v>
      </c>
      <c r="D17" s="6" t="s">
        <v>89</v>
      </c>
      <c r="E17" s="6" t="s">
        <v>616</v>
      </c>
      <c r="F17" s="27" t="s">
        <v>105</v>
      </c>
      <c r="G17" s="21" t="s">
        <v>16</v>
      </c>
      <c r="H17" s="20" t="s">
        <v>617</v>
      </c>
      <c r="I17" s="20" t="s">
        <v>618</v>
      </c>
      <c r="J17" s="22"/>
      <c r="K17" s="7" t="n">
        <v>0</v>
      </c>
      <c r="L17" s="23" t="s">
        <v>619</v>
      </c>
      <c r="M17" s="6" t="s">
        <v>620</v>
      </c>
    </row>
    <row r="18" customFormat="false" ht="37.5" hidden="false" customHeight="true" outlineLevel="0" collapsed="false">
      <c r="A18" s="11" t="s">
        <v>621</v>
      </c>
      <c r="B18" s="11" t="s">
        <v>590</v>
      </c>
      <c r="C18" s="24" t="s">
        <v>622</v>
      </c>
      <c r="D18" s="11" t="s">
        <v>89</v>
      </c>
      <c r="E18" s="11" t="s">
        <v>623</v>
      </c>
      <c r="F18" s="13" t="s">
        <v>91</v>
      </c>
      <c r="G18" s="21" t="s">
        <v>16</v>
      </c>
      <c r="H18" s="24" t="s">
        <v>624</v>
      </c>
      <c r="I18" s="24" t="s">
        <v>625</v>
      </c>
      <c r="J18" s="25"/>
      <c r="K18" s="12" t="n">
        <v>0</v>
      </c>
      <c r="L18" s="26" t="s">
        <v>626</v>
      </c>
      <c r="M18" s="11" t="s">
        <v>627</v>
      </c>
    </row>
    <row r="20" customFormat="false" ht="21.75" hidden="false" customHeight="true" outlineLevel="0" collapsed="false">
      <c r="A20" s="19" t="s">
        <v>628</v>
      </c>
      <c r="B20" s="19"/>
      <c r="C20" s="19"/>
      <c r="D20" s="19"/>
      <c r="E20" s="19"/>
      <c r="F20" s="19"/>
      <c r="G20" s="19"/>
      <c r="H20" s="19"/>
      <c r="I20" s="19"/>
      <c r="J20" s="19"/>
      <c r="K20" s="19"/>
      <c r="L20" s="19"/>
      <c r="M20" s="19"/>
    </row>
    <row r="21" customFormat="false" ht="37.5" hidden="false" customHeight="true" outlineLevel="0" collapsed="false">
      <c r="A21" s="6" t="s">
        <v>629</v>
      </c>
      <c r="B21" s="6" t="s">
        <v>630</v>
      </c>
      <c r="C21" s="20" t="s">
        <v>631</v>
      </c>
      <c r="D21" s="6" t="s">
        <v>89</v>
      </c>
      <c r="E21" s="6" t="s">
        <v>441</v>
      </c>
      <c r="F21" s="27" t="s">
        <v>105</v>
      </c>
      <c r="G21" s="21" t="s">
        <v>16</v>
      </c>
      <c r="H21" s="20" t="s">
        <v>632</v>
      </c>
      <c r="I21" s="20" t="s">
        <v>633</v>
      </c>
      <c r="J21" s="22"/>
      <c r="K21" s="7" t="n">
        <v>0</v>
      </c>
      <c r="L21" s="23" t="s">
        <v>634</v>
      </c>
      <c r="M21" s="6" t="s">
        <v>635</v>
      </c>
    </row>
    <row r="22" customFormat="false" ht="37.5" hidden="false" customHeight="true" outlineLevel="0" collapsed="false">
      <c r="A22" s="11" t="s">
        <v>636</v>
      </c>
      <c r="B22" s="11" t="s">
        <v>630</v>
      </c>
      <c r="C22" s="24" t="s">
        <v>637</v>
      </c>
      <c r="D22" s="11" t="s">
        <v>89</v>
      </c>
      <c r="E22" s="11" t="s">
        <v>441</v>
      </c>
      <c r="F22" s="11" t="s">
        <v>125</v>
      </c>
      <c r="G22" s="21" t="s">
        <v>16</v>
      </c>
      <c r="H22" s="24" t="s">
        <v>638</v>
      </c>
      <c r="I22" s="24" t="s">
        <v>639</v>
      </c>
      <c r="J22" s="25"/>
      <c r="K22" s="12" t="n">
        <v>0</v>
      </c>
      <c r="L22" s="26" t="s">
        <v>640</v>
      </c>
      <c r="M22" s="11" t="s">
        <v>641</v>
      </c>
    </row>
    <row r="23" customFormat="false" ht="37.5" hidden="false" customHeight="true" outlineLevel="0" collapsed="false">
      <c r="A23" s="6" t="s">
        <v>642</v>
      </c>
      <c r="B23" s="6" t="s">
        <v>630</v>
      </c>
      <c r="C23" s="20" t="s">
        <v>643</v>
      </c>
      <c r="D23" s="6" t="s">
        <v>89</v>
      </c>
      <c r="E23" s="6" t="s">
        <v>506</v>
      </c>
      <c r="F23" s="27" t="s">
        <v>105</v>
      </c>
      <c r="G23" s="21" t="s">
        <v>16</v>
      </c>
      <c r="H23" s="20" t="s">
        <v>644</v>
      </c>
      <c r="I23" s="20" t="s">
        <v>639</v>
      </c>
      <c r="J23" s="22"/>
      <c r="K23" s="7" t="n">
        <v>0</v>
      </c>
      <c r="L23" s="23" t="s">
        <v>645</v>
      </c>
      <c r="M23" s="6" t="s">
        <v>646</v>
      </c>
    </row>
    <row r="24" customFormat="false" ht="37.5" hidden="false" customHeight="true" outlineLevel="0" collapsed="false">
      <c r="A24" s="11" t="s">
        <v>647</v>
      </c>
      <c r="B24" s="11" t="s">
        <v>630</v>
      </c>
      <c r="C24" s="24" t="s">
        <v>648</v>
      </c>
      <c r="D24" s="11" t="s">
        <v>89</v>
      </c>
      <c r="E24" s="11" t="s">
        <v>616</v>
      </c>
      <c r="F24" s="11" t="s">
        <v>125</v>
      </c>
      <c r="G24" s="21" t="s">
        <v>16</v>
      </c>
      <c r="H24" s="24" t="s">
        <v>649</v>
      </c>
      <c r="I24" s="24" t="s">
        <v>650</v>
      </c>
      <c r="J24" s="25"/>
      <c r="K24" s="12" t="n">
        <v>0</v>
      </c>
      <c r="L24" s="26" t="s">
        <v>651</v>
      </c>
      <c r="M24" s="11" t="s">
        <v>652</v>
      </c>
    </row>
    <row r="25" customFormat="false" ht="37.5" hidden="false" customHeight="true" outlineLevel="0" collapsed="false">
      <c r="A25" s="6" t="s">
        <v>653</v>
      </c>
      <c r="B25" s="6" t="s">
        <v>630</v>
      </c>
      <c r="C25" s="20" t="s">
        <v>654</v>
      </c>
      <c r="D25" s="6" t="s">
        <v>89</v>
      </c>
      <c r="E25" s="6" t="s">
        <v>623</v>
      </c>
      <c r="F25" s="27" t="s">
        <v>105</v>
      </c>
      <c r="G25" s="21" t="s">
        <v>16</v>
      </c>
      <c r="H25" s="20" t="s">
        <v>655</v>
      </c>
      <c r="I25" s="20" t="s">
        <v>656</v>
      </c>
      <c r="J25" s="22"/>
      <c r="K25" s="7" t="n">
        <v>0</v>
      </c>
      <c r="L25" s="23" t="s">
        <v>657</v>
      </c>
      <c r="M25" s="6" t="s">
        <v>658</v>
      </c>
    </row>
    <row r="27" customFormat="false" ht="21.75" hidden="false" customHeight="true" outlineLevel="0" collapsed="false">
      <c r="A27" s="19" t="s">
        <v>659</v>
      </c>
      <c r="B27" s="19"/>
      <c r="C27" s="19"/>
      <c r="D27" s="19"/>
      <c r="E27" s="19"/>
      <c r="F27" s="19"/>
      <c r="G27" s="19"/>
      <c r="H27" s="19"/>
      <c r="I27" s="19"/>
      <c r="J27" s="19"/>
      <c r="K27" s="19"/>
      <c r="L27" s="19"/>
      <c r="M27" s="19"/>
    </row>
    <row r="28" customFormat="false" ht="37.5" hidden="false" customHeight="true" outlineLevel="0" collapsed="false">
      <c r="A28" s="6" t="s">
        <v>660</v>
      </c>
      <c r="B28" s="6" t="s">
        <v>661</v>
      </c>
      <c r="C28" s="20" t="s">
        <v>662</v>
      </c>
      <c r="D28" s="6" t="s">
        <v>89</v>
      </c>
      <c r="E28" s="6" t="s">
        <v>616</v>
      </c>
      <c r="F28" s="27" t="s">
        <v>105</v>
      </c>
      <c r="G28" s="21" t="s">
        <v>16</v>
      </c>
      <c r="H28" s="20" t="s">
        <v>663</v>
      </c>
      <c r="I28" s="20" t="s">
        <v>664</v>
      </c>
      <c r="J28" s="22"/>
      <c r="K28" s="7" t="n">
        <v>0</v>
      </c>
      <c r="L28" s="23" t="s">
        <v>665</v>
      </c>
      <c r="M28" s="6" t="s">
        <v>666</v>
      </c>
    </row>
    <row r="29" customFormat="false" ht="37.5" hidden="false" customHeight="true" outlineLevel="0" collapsed="false">
      <c r="A29" s="11" t="s">
        <v>667</v>
      </c>
      <c r="B29" s="11" t="s">
        <v>661</v>
      </c>
      <c r="C29" s="24" t="s">
        <v>668</v>
      </c>
      <c r="D29" s="11" t="s">
        <v>89</v>
      </c>
      <c r="E29" s="11" t="s">
        <v>616</v>
      </c>
      <c r="F29" s="11" t="s">
        <v>125</v>
      </c>
      <c r="G29" s="21" t="s">
        <v>16</v>
      </c>
      <c r="H29" s="24" t="s">
        <v>669</v>
      </c>
      <c r="I29" s="24" t="s">
        <v>670</v>
      </c>
      <c r="J29" s="25"/>
      <c r="K29" s="12" t="n">
        <v>0</v>
      </c>
      <c r="L29" s="26" t="s">
        <v>671</v>
      </c>
      <c r="M29" s="11" t="s">
        <v>672</v>
      </c>
    </row>
    <row r="30" customFormat="false" ht="37.5" hidden="false" customHeight="true" outlineLevel="0" collapsed="false">
      <c r="A30" s="6" t="s">
        <v>673</v>
      </c>
      <c r="B30" s="6" t="s">
        <v>661</v>
      </c>
      <c r="C30" s="20" t="s">
        <v>674</v>
      </c>
      <c r="D30" s="6" t="s">
        <v>89</v>
      </c>
      <c r="E30" s="6" t="s">
        <v>623</v>
      </c>
      <c r="F30" s="27" t="s">
        <v>105</v>
      </c>
      <c r="G30" s="21" t="s">
        <v>16</v>
      </c>
      <c r="H30" s="20" t="s">
        <v>675</v>
      </c>
      <c r="I30" s="20" t="s">
        <v>676</v>
      </c>
      <c r="J30" s="22"/>
      <c r="K30" s="7" t="n">
        <v>0</v>
      </c>
      <c r="L30" s="23" t="s">
        <v>677</v>
      </c>
      <c r="M30" s="6" t="s">
        <v>678</v>
      </c>
    </row>
    <row r="31" customFormat="false" ht="37.5" hidden="false" customHeight="true" outlineLevel="0" collapsed="false">
      <c r="A31" s="11" t="s">
        <v>679</v>
      </c>
      <c r="B31" s="11" t="s">
        <v>661</v>
      </c>
      <c r="C31" s="24" t="s">
        <v>680</v>
      </c>
      <c r="D31" s="11" t="s">
        <v>89</v>
      </c>
      <c r="E31" s="11" t="s">
        <v>681</v>
      </c>
      <c r="F31" s="11" t="s">
        <v>125</v>
      </c>
      <c r="G31" s="21" t="s">
        <v>16</v>
      </c>
      <c r="H31" s="24" t="s">
        <v>682</v>
      </c>
      <c r="I31" s="24" t="s">
        <v>683</v>
      </c>
      <c r="J31" s="25"/>
      <c r="K31" s="12" t="n">
        <v>0</v>
      </c>
      <c r="L31" s="26" t="s">
        <v>684</v>
      </c>
      <c r="M31" s="11" t="s">
        <v>685</v>
      </c>
    </row>
    <row r="32" customFormat="false" ht="37.5" hidden="false" customHeight="true" outlineLevel="0" collapsed="false">
      <c r="A32" s="6" t="s">
        <v>686</v>
      </c>
      <c r="B32" s="6" t="s">
        <v>661</v>
      </c>
      <c r="C32" s="20" t="s">
        <v>687</v>
      </c>
      <c r="D32" s="6" t="s">
        <v>89</v>
      </c>
      <c r="E32" s="6" t="s">
        <v>681</v>
      </c>
      <c r="F32" s="27" t="s">
        <v>105</v>
      </c>
      <c r="G32" s="21" t="s">
        <v>16</v>
      </c>
      <c r="H32" s="20" t="s">
        <v>688</v>
      </c>
      <c r="I32" s="20" t="s">
        <v>689</v>
      </c>
      <c r="J32" s="22"/>
      <c r="K32" s="7" t="n">
        <v>0</v>
      </c>
      <c r="L32" s="23" t="s">
        <v>690</v>
      </c>
      <c r="M32" s="6" t="s">
        <v>691</v>
      </c>
    </row>
    <row r="34" customFormat="false" ht="21.75" hidden="false" customHeight="true" outlineLevel="0" collapsed="false">
      <c r="A34" s="19" t="s">
        <v>692</v>
      </c>
      <c r="B34" s="19"/>
      <c r="C34" s="19"/>
      <c r="D34" s="19"/>
      <c r="E34" s="19"/>
      <c r="F34" s="19"/>
      <c r="G34" s="19"/>
      <c r="H34" s="19"/>
      <c r="I34" s="19"/>
      <c r="J34" s="19"/>
      <c r="K34" s="19"/>
      <c r="L34" s="19"/>
      <c r="M34" s="19"/>
    </row>
    <row r="35" customFormat="false" ht="37.5" hidden="false" customHeight="true" outlineLevel="0" collapsed="false">
      <c r="A35" s="6" t="s">
        <v>693</v>
      </c>
      <c r="B35" s="6" t="s">
        <v>694</v>
      </c>
      <c r="C35" s="20" t="s">
        <v>695</v>
      </c>
      <c r="D35" s="6" t="s">
        <v>89</v>
      </c>
      <c r="E35" s="6" t="s">
        <v>616</v>
      </c>
      <c r="F35" s="27" t="s">
        <v>105</v>
      </c>
      <c r="G35" s="21" t="s">
        <v>16</v>
      </c>
      <c r="H35" s="20" t="s">
        <v>696</v>
      </c>
      <c r="I35" s="20" t="s">
        <v>697</v>
      </c>
      <c r="J35" s="22"/>
      <c r="K35" s="7" t="n">
        <v>0</v>
      </c>
      <c r="L35" s="23" t="s">
        <v>698</v>
      </c>
      <c r="M35" s="6" t="s">
        <v>699</v>
      </c>
    </row>
    <row r="36" customFormat="false" ht="37.5" hidden="false" customHeight="true" outlineLevel="0" collapsed="false">
      <c r="A36" s="11" t="s">
        <v>700</v>
      </c>
      <c r="B36" s="11" t="s">
        <v>694</v>
      </c>
      <c r="C36" s="24" t="s">
        <v>701</v>
      </c>
      <c r="D36" s="11" t="s">
        <v>89</v>
      </c>
      <c r="E36" s="11" t="s">
        <v>623</v>
      </c>
      <c r="F36" s="28" t="s">
        <v>105</v>
      </c>
      <c r="G36" s="21" t="s">
        <v>16</v>
      </c>
      <c r="H36" s="24" t="s">
        <v>702</v>
      </c>
      <c r="I36" s="24" t="s">
        <v>703</v>
      </c>
      <c r="J36" s="25"/>
      <c r="K36" s="12" t="n">
        <v>0</v>
      </c>
      <c r="L36" s="26" t="s">
        <v>704</v>
      </c>
      <c r="M36" s="11" t="s">
        <v>705</v>
      </c>
    </row>
    <row r="37" customFormat="false" ht="37.5" hidden="false" customHeight="true" outlineLevel="0" collapsed="false">
      <c r="A37" s="6" t="s">
        <v>706</v>
      </c>
      <c r="B37" s="6" t="s">
        <v>694</v>
      </c>
      <c r="C37" s="20" t="s">
        <v>707</v>
      </c>
      <c r="D37" s="6" t="s">
        <v>89</v>
      </c>
      <c r="E37" s="6" t="s">
        <v>681</v>
      </c>
      <c r="F37" s="6" t="s">
        <v>125</v>
      </c>
      <c r="G37" s="21" t="s">
        <v>16</v>
      </c>
      <c r="H37" s="20" t="s">
        <v>708</v>
      </c>
      <c r="I37" s="20" t="s">
        <v>709</v>
      </c>
      <c r="J37" s="22"/>
      <c r="K37" s="7" t="n">
        <v>0</v>
      </c>
      <c r="L37" s="23" t="s">
        <v>710</v>
      </c>
      <c r="M37" s="6" t="s">
        <v>711</v>
      </c>
    </row>
    <row r="38" customFormat="false" ht="37.5" hidden="false" customHeight="true" outlineLevel="0" collapsed="false">
      <c r="A38" s="11" t="s">
        <v>712</v>
      </c>
      <c r="B38" s="11" t="s">
        <v>694</v>
      </c>
      <c r="C38" s="24" t="s">
        <v>713</v>
      </c>
      <c r="D38" s="11" t="s">
        <v>89</v>
      </c>
      <c r="E38" s="11" t="s">
        <v>681</v>
      </c>
      <c r="F38" s="11" t="s">
        <v>125</v>
      </c>
      <c r="G38" s="21" t="s">
        <v>16</v>
      </c>
      <c r="H38" s="24" t="s">
        <v>714</v>
      </c>
      <c r="I38" s="24" t="s">
        <v>715</v>
      </c>
      <c r="J38" s="25"/>
      <c r="K38" s="12" t="n">
        <v>0</v>
      </c>
      <c r="L38" s="26" t="s">
        <v>716</v>
      </c>
      <c r="M38" s="11" t="s">
        <v>717</v>
      </c>
    </row>
    <row r="39" customFormat="false" ht="37.5" hidden="false" customHeight="true" outlineLevel="0" collapsed="false">
      <c r="A39" s="6" t="s">
        <v>718</v>
      </c>
      <c r="B39" s="6" t="s">
        <v>694</v>
      </c>
      <c r="C39" s="20" t="s">
        <v>719</v>
      </c>
      <c r="D39" s="6" t="s">
        <v>89</v>
      </c>
      <c r="E39" s="6" t="s">
        <v>720</v>
      </c>
      <c r="F39" s="27" t="s">
        <v>105</v>
      </c>
      <c r="G39" s="21" t="s">
        <v>16</v>
      </c>
      <c r="H39" s="20" t="s">
        <v>721</v>
      </c>
      <c r="I39" s="20" t="s">
        <v>722</v>
      </c>
      <c r="J39" s="22"/>
      <c r="K39" s="7" t="n">
        <v>0</v>
      </c>
      <c r="L39" s="23" t="s">
        <v>723</v>
      </c>
      <c r="M39" s="6" t="s">
        <v>724</v>
      </c>
    </row>
  </sheetData>
  <mergeCells count="7">
    <mergeCell ref="A1:M1"/>
    <mergeCell ref="A2:M2"/>
    <mergeCell ref="A4:M4"/>
    <mergeCell ref="A12:M12"/>
    <mergeCell ref="A20:M20"/>
    <mergeCell ref="A27:M27"/>
    <mergeCell ref="A34:M3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E5090"/>
    <pageSetUpPr fitToPage="false"/>
  </sheetPr>
  <dimension ref="A1:M3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0"/>
    <col collapsed="false" customWidth="true" hidden="false" outlineLevel="0" max="3" min="3" style="0" width="55"/>
    <col collapsed="false" customWidth="true" hidden="false" outlineLevel="0" max="5" min="4" style="0" width="12"/>
    <col collapsed="false" customWidth="true" hidden="false" outlineLevel="0" max="6" min="6" style="0" width="10"/>
    <col collapsed="false" customWidth="true" hidden="false" outlineLevel="0" max="7" min="7" style="0" width="14"/>
    <col collapsed="false" customWidth="true" hidden="false" outlineLevel="0" max="8" min="8" style="0" width="28"/>
    <col collapsed="false" customWidth="true" hidden="false" outlineLevel="0" max="9" min="9" style="0" width="22"/>
    <col collapsed="false" customWidth="true" hidden="false" outlineLevel="0" max="10" min="10" style="0" width="18"/>
    <col collapsed="false" customWidth="true" hidden="false" outlineLevel="0" max="11" min="11" style="0" width="10"/>
    <col collapsed="false" customWidth="true" hidden="false" outlineLevel="0" max="12" min="12" style="0" width="50"/>
    <col collapsed="false" customWidth="true" hidden="false" outlineLevel="0" max="13" min="13" style="0" width="14"/>
  </cols>
  <sheetData>
    <row r="1" customFormat="false" ht="27.75" hidden="false" customHeight="true" outlineLevel="0" collapsed="false">
      <c r="A1" s="17" t="s">
        <v>725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</row>
    <row r="2" customFormat="false" ht="21.75" hidden="false" customHeight="true" outlineLevel="0" collapsed="false">
      <c r="A2" s="18" t="s">
        <v>72</v>
      </c>
      <c r="B2" s="18"/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</row>
    <row r="3" customFormat="false" ht="24" hidden="false" customHeight="true" outlineLevel="0" collapsed="false">
      <c r="A3" s="3" t="s">
        <v>73</v>
      </c>
      <c r="B3" s="3" t="s">
        <v>74</v>
      </c>
      <c r="C3" s="3" t="s">
        <v>75</v>
      </c>
      <c r="D3" s="3" t="s">
        <v>76</v>
      </c>
      <c r="E3" s="3" t="s">
        <v>77</v>
      </c>
      <c r="F3" s="3" t="s">
        <v>78</v>
      </c>
      <c r="G3" s="3" t="s">
        <v>9</v>
      </c>
      <c r="H3" s="3" t="s">
        <v>79</v>
      </c>
      <c r="I3" s="3" t="s">
        <v>80</v>
      </c>
      <c r="J3" s="3" t="s">
        <v>81</v>
      </c>
      <c r="K3" s="3" t="s">
        <v>82</v>
      </c>
      <c r="L3" s="3" t="s">
        <v>83</v>
      </c>
      <c r="M3" s="3" t="s">
        <v>84</v>
      </c>
    </row>
    <row r="4" customFormat="false" ht="21.75" hidden="false" customHeight="true" outlineLevel="0" collapsed="false">
      <c r="A4" s="19" t="s">
        <v>726</v>
      </c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</row>
    <row r="5" customFormat="false" ht="37.5" hidden="false" customHeight="true" outlineLevel="0" collapsed="false">
      <c r="A5" s="6" t="s">
        <v>727</v>
      </c>
      <c r="B5" s="6" t="s">
        <v>728</v>
      </c>
      <c r="C5" s="20" t="s">
        <v>729</v>
      </c>
      <c r="D5" s="6" t="s">
        <v>89</v>
      </c>
      <c r="E5" s="6" t="s">
        <v>616</v>
      </c>
      <c r="F5" s="8" t="s">
        <v>91</v>
      </c>
      <c r="G5" s="21" t="s">
        <v>16</v>
      </c>
      <c r="H5" s="20" t="s">
        <v>730</v>
      </c>
      <c r="I5" s="20" t="s">
        <v>731</v>
      </c>
      <c r="J5" s="22"/>
      <c r="K5" s="7" t="n">
        <v>0</v>
      </c>
      <c r="L5" s="23" t="s">
        <v>732</v>
      </c>
      <c r="M5" s="6" t="s">
        <v>733</v>
      </c>
    </row>
    <row r="6" customFormat="false" ht="37.5" hidden="false" customHeight="true" outlineLevel="0" collapsed="false">
      <c r="A6" s="11" t="s">
        <v>734</v>
      </c>
      <c r="B6" s="11" t="s">
        <v>728</v>
      </c>
      <c r="C6" s="24" t="s">
        <v>735</v>
      </c>
      <c r="D6" s="11" t="s">
        <v>89</v>
      </c>
      <c r="E6" s="11" t="s">
        <v>616</v>
      </c>
      <c r="F6" s="28" t="s">
        <v>105</v>
      </c>
      <c r="G6" s="21" t="s">
        <v>16</v>
      </c>
      <c r="H6" s="24" t="s">
        <v>736</v>
      </c>
      <c r="I6" s="24" t="s">
        <v>737</v>
      </c>
      <c r="J6" s="25"/>
      <c r="K6" s="12" t="n">
        <v>0</v>
      </c>
      <c r="L6" s="26" t="s">
        <v>738</v>
      </c>
      <c r="M6" s="11" t="s">
        <v>739</v>
      </c>
    </row>
    <row r="7" customFormat="false" ht="37.5" hidden="false" customHeight="true" outlineLevel="0" collapsed="false">
      <c r="A7" s="6" t="s">
        <v>740</v>
      </c>
      <c r="B7" s="6" t="s">
        <v>728</v>
      </c>
      <c r="C7" s="20" t="s">
        <v>741</v>
      </c>
      <c r="D7" s="6" t="s">
        <v>89</v>
      </c>
      <c r="E7" s="6" t="s">
        <v>623</v>
      </c>
      <c r="F7" s="27" t="s">
        <v>105</v>
      </c>
      <c r="G7" s="21" t="s">
        <v>16</v>
      </c>
      <c r="H7" s="20" t="s">
        <v>742</v>
      </c>
      <c r="I7" s="20" t="s">
        <v>743</v>
      </c>
      <c r="J7" s="22"/>
      <c r="K7" s="7" t="n">
        <v>0</v>
      </c>
      <c r="L7" s="23" t="s">
        <v>744</v>
      </c>
      <c r="M7" s="6" t="s">
        <v>745</v>
      </c>
    </row>
    <row r="8" customFormat="false" ht="37.5" hidden="false" customHeight="true" outlineLevel="0" collapsed="false">
      <c r="A8" s="11" t="s">
        <v>746</v>
      </c>
      <c r="B8" s="11" t="s">
        <v>728</v>
      </c>
      <c r="C8" s="24" t="s">
        <v>747</v>
      </c>
      <c r="D8" s="11" t="s">
        <v>89</v>
      </c>
      <c r="E8" s="11" t="s">
        <v>681</v>
      </c>
      <c r="F8" s="13" t="s">
        <v>91</v>
      </c>
      <c r="G8" s="21" t="s">
        <v>16</v>
      </c>
      <c r="H8" s="24" t="s">
        <v>748</v>
      </c>
      <c r="I8" s="24" t="s">
        <v>749</v>
      </c>
      <c r="J8" s="25"/>
      <c r="K8" s="12" t="n">
        <v>0</v>
      </c>
      <c r="L8" s="26" t="s">
        <v>750</v>
      </c>
      <c r="M8" s="11" t="s">
        <v>751</v>
      </c>
    </row>
    <row r="9" customFormat="false" ht="37.5" hidden="false" customHeight="true" outlineLevel="0" collapsed="false">
      <c r="A9" s="6" t="s">
        <v>752</v>
      </c>
      <c r="B9" s="6" t="s">
        <v>728</v>
      </c>
      <c r="C9" s="20" t="s">
        <v>753</v>
      </c>
      <c r="D9" s="6" t="s">
        <v>89</v>
      </c>
      <c r="E9" s="6" t="s">
        <v>681</v>
      </c>
      <c r="F9" s="27" t="s">
        <v>105</v>
      </c>
      <c r="G9" s="21" t="s">
        <v>16</v>
      </c>
      <c r="H9" s="20" t="s">
        <v>754</v>
      </c>
      <c r="I9" s="20" t="s">
        <v>755</v>
      </c>
      <c r="J9" s="22"/>
      <c r="K9" s="7" t="n">
        <v>0</v>
      </c>
      <c r="L9" s="23" t="s">
        <v>756</v>
      </c>
      <c r="M9" s="6" t="s">
        <v>757</v>
      </c>
    </row>
    <row r="10" customFormat="false" ht="37.5" hidden="false" customHeight="true" outlineLevel="0" collapsed="false">
      <c r="A10" s="11" t="s">
        <v>758</v>
      </c>
      <c r="B10" s="11" t="s">
        <v>728</v>
      </c>
      <c r="C10" s="24" t="s">
        <v>759</v>
      </c>
      <c r="D10" s="11" t="s">
        <v>89</v>
      </c>
      <c r="E10" s="11" t="s">
        <v>760</v>
      </c>
      <c r="F10" s="11" t="s">
        <v>125</v>
      </c>
      <c r="G10" s="21" t="s">
        <v>16</v>
      </c>
      <c r="H10" s="24" t="s">
        <v>761</v>
      </c>
      <c r="I10" s="24" t="s">
        <v>762</v>
      </c>
      <c r="J10" s="25"/>
      <c r="K10" s="12" t="n">
        <v>0</v>
      </c>
      <c r="L10" s="26" t="s">
        <v>763</v>
      </c>
      <c r="M10" s="11" t="s">
        <v>764</v>
      </c>
    </row>
    <row r="12" customFormat="false" ht="21.75" hidden="false" customHeight="true" outlineLevel="0" collapsed="false">
      <c r="A12" s="19" t="s">
        <v>765</v>
      </c>
      <c r="B12" s="19"/>
      <c r="C12" s="19"/>
      <c r="D12" s="19"/>
      <c r="E12" s="19"/>
      <c r="F12" s="19"/>
      <c r="G12" s="19"/>
      <c r="H12" s="19"/>
      <c r="I12" s="19"/>
      <c r="J12" s="19"/>
      <c r="K12" s="19"/>
      <c r="L12" s="19"/>
      <c r="M12" s="19"/>
    </row>
    <row r="13" customFormat="false" ht="37.5" hidden="false" customHeight="true" outlineLevel="0" collapsed="false">
      <c r="A13" s="6" t="s">
        <v>766</v>
      </c>
      <c r="B13" s="6" t="s">
        <v>767</v>
      </c>
      <c r="C13" s="20" t="s">
        <v>768</v>
      </c>
      <c r="D13" s="6" t="s">
        <v>89</v>
      </c>
      <c r="E13" s="6" t="s">
        <v>769</v>
      </c>
      <c r="F13" s="27" t="s">
        <v>105</v>
      </c>
      <c r="G13" s="21" t="s">
        <v>16</v>
      </c>
      <c r="H13" s="20" t="s">
        <v>770</v>
      </c>
      <c r="I13" s="20" t="s">
        <v>771</v>
      </c>
      <c r="J13" s="22"/>
      <c r="K13" s="7" t="n">
        <v>0</v>
      </c>
      <c r="L13" s="23" t="s">
        <v>772</v>
      </c>
      <c r="M13" s="6" t="s">
        <v>773</v>
      </c>
    </row>
    <row r="14" customFormat="false" ht="37.5" hidden="false" customHeight="true" outlineLevel="0" collapsed="false">
      <c r="A14" s="11" t="s">
        <v>774</v>
      </c>
      <c r="B14" s="11" t="s">
        <v>767</v>
      </c>
      <c r="C14" s="24" t="s">
        <v>775</v>
      </c>
      <c r="D14" s="11" t="s">
        <v>89</v>
      </c>
      <c r="E14" s="11" t="s">
        <v>769</v>
      </c>
      <c r="F14" s="11" t="s">
        <v>125</v>
      </c>
      <c r="G14" s="21" t="s">
        <v>16</v>
      </c>
      <c r="H14" s="24" t="s">
        <v>776</v>
      </c>
      <c r="I14" s="24" t="s">
        <v>777</v>
      </c>
      <c r="J14" s="25"/>
      <c r="K14" s="12" t="n">
        <v>0</v>
      </c>
      <c r="L14" s="26" t="s">
        <v>778</v>
      </c>
      <c r="M14" s="11" t="s">
        <v>779</v>
      </c>
    </row>
    <row r="15" customFormat="false" ht="37.5" hidden="false" customHeight="true" outlineLevel="0" collapsed="false">
      <c r="A15" s="6" t="s">
        <v>780</v>
      </c>
      <c r="B15" s="6" t="s">
        <v>767</v>
      </c>
      <c r="C15" s="20" t="s">
        <v>781</v>
      </c>
      <c r="D15" s="6" t="s">
        <v>89</v>
      </c>
      <c r="E15" s="6" t="s">
        <v>769</v>
      </c>
      <c r="F15" s="8" t="s">
        <v>91</v>
      </c>
      <c r="G15" s="21" t="s">
        <v>16</v>
      </c>
      <c r="H15" s="20" t="s">
        <v>782</v>
      </c>
      <c r="I15" s="20" t="s">
        <v>783</v>
      </c>
      <c r="J15" s="22"/>
      <c r="K15" s="7" t="n">
        <v>0</v>
      </c>
      <c r="L15" s="23" t="s">
        <v>784</v>
      </c>
      <c r="M15" s="6" t="s">
        <v>785</v>
      </c>
    </row>
    <row r="16" customFormat="false" ht="37.5" hidden="false" customHeight="true" outlineLevel="0" collapsed="false">
      <c r="A16" s="11" t="s">
        <v>786</v>
      </c>
      <c r="B16" s="11" t="s">
        <v>767</v>
      </c>
      <c r="C16" s="24" t="s">
        <v>787</v>
      </c>
      <c r="D16" s="11" t="s">
        <v>89</v>
      </c>
      <c r="E16" s="11" t="s">
        <v>769</v>
      </c>
      <c r="F16" s="13" t="s">
        <v>91</v>
      </c>
      <c r="G16" s="21" t="s">
        <v>16</v>
      </c>
      <c r="H16" s="24" t="s">
        <v>788</v>
      </c>
      <c r="I16" s="24" t="s">
        <v>749</v>
      </c>
      <c r="J16" s="25"/>
      <c r="K16" s="12" t="n">
        <v>0</v>
      </c>
      <c r="L16" s="26" t="s">
        <v>789</v>
      </c>
      <c r="M16" s="11" t="s">
        <v>751</v>
      </c>
    </row>
    <row r="17" customFormat="false" ht="37.5" hidden="false" customHeight="true" outlineLevel="0" collapsed="false">
      <c r="A17" s="6" t="s">
        <v>790</v>
      </c>
      <c r="B17" s="6" t="s">
        <v>767</v>
      </c>
      <c r="C17" s="20" t="s">
        <v>791</v>
      </c>
      <c r="D17" s="6" t="s">
        <v>89</v>
      </c>
      <c r="E17" s="6" t="s">
        <v>769</v>
      </c>
      <c r="F17" s="6" t="s">
        <v>125</v>
      </c>
      <c r="G17" s="21" t="s">
        <v>16</v>
      </c>
      <c r="H17" s="20" t="s">
        <v>792</v>
      </c>
      <c r="I17" s="20" t="s">
        <v>793</v>
      </c>
      <c r="J17" s="22"/>
      <c r="K17" s="7" t="n">
        <v>0</v>
      </c>
      <c r="L17" s="23" t="s">
        <v>794</v>
      </c>
      <c r="M17" s="6" t="s">
        <v>795</v>
      </c>
    </row>
    <row r="18" customFormat="false" ht="37.5" hidden="false" customHeight="true" outlineLevel="0" collapsed="false">
      <c r="A18" s="11" t="s">
        <v>796</v>
      </c>
      <c r="B18" s="11" t="s">
        <v>767</v>
      </c>
      <c r="C18" s="24" t="s">
        <v>797</v>
      </c>
      <c r="D18" s="11" t="s">
        <v>89</v>
      </c>
      <c r="E18" s="11" t="s">
        <v>798</v>
      </c>
      <c r="F18" s="11" t="s">
        <v>125</v>
      </c>
      <c r="G18" s="21" t="s">
        <v>16</v>
      </c>
      <c r="H18" s="24" t="s">
        <v>799</v>
      </c>
      <c r="I18" s="24" t="s">
        <v>800</v>
      </c>
      <c r="J18" s="25"/>
      <c r="K18" s="12" t="n">
        <v>0</v>
      </c>
      <c r="L18" s="26" t="s">
        <v>801</v>
      </c>
      <c r="M18" s="11" t="s">
        <v>802</v>
      </c>
    </row>
    <row r="20" customFormat="false" ht="21.75" hidden="false" customHeight="true" outlineLevel="0" collapsed="false">
      <c r="A20" s="19" t="s">
        <v>803</v>
      </c>
      <c r="B20" s="19"/>
      <c r="C20" s="19"/>
      <c r="D20" s="19"/>
      <c r="E20" s="19"/>
      <c r="F20" s="19"/>
      <c r="G20" s="19"/>
      <c r="H20" s="19"/>
      <c r="I20" s="19"/>
      <c r="J20" s="19"/>
      <c r="K20" s="19"/>
      <c r="L20" s="19"/>
      <c r="M20" s="19"/>
    </row>
    <row r="21" customFormat="false" ht="37.5" hidden="false" customHeight="true" outlineLevel="0" collapsed="false">
      <c r="A21" s="6" t="s">
        <v>804</v>
      </c>
      <c r="B21" s="6" t="s">
        <v>805</v>
      </c>
      <c r="C21" s="20" t="s">
        <v>806</v>
      </c>
      <c r="D21" s="6" t="s">
        <v>89</v>
      </c>
      <c r="E21" s="6" t="s">
        <v>769</v>
      </c>
      <c r="F21" s="27" t="s">
        <v>105</v>
      </c>
      <c r="G21" s="21" t="s">
        <v>16</v>
      </c>
      <c r="H21" s="20" t="s">
        <v>807</v>
      </c>
      <c r="I21" s="20" t="s">
        <v>808</v>
      </c>
      <c r="J21" s="22"/>
      <c r="K21" s="7" t="n">
        <v>0</v>
      </c>
      <c r="L21" s="23" t="s">
        <v>809</v>
      </c>
      <c r="M21" s="6" t="s">
        <v>810</v>
      </c>
    </row>
    <row r="22" customFormat="false" ht="37.5" hidden="false" customHeight="true" outlineLevel="0" collapsed="false">
      <c r="A22" s="11" t="s">
        <v>811</v>
      </c>
      <c r="B22" s="11" t="s">
        <v>805</v>
      </c>
      <c r="C22" s="24" t="s">
        <v>812</v>
      </c>
      <c r="D22" s="11" t="s">
        <v>89</v>
      </c>
      <c r="E22" s="11" t="s">
        <v>798</v>
      </c>
      <c r="F22" s="28" t="s">
        <v>105</v>
      </c>
      <c r="G22" s="21" t="s">
        <v>16</v>
      </c>
      <c r="H22" s="24" t="s">
        <v>813</v>
      </c>
      <c r="I22" s="24" t="s">
        <v>814</v>
      </c>
      <c r="J22" s="25"/>
      <c r="K22" s="12" t="n">
        <v>0</v>
      </c>
      <c r="L22" s="26" t="s">
        <v>815</v>
      </c>
      <c r="M22" s="11" t="s">
        <v>816</v>
      </c>
    </row>
    <row r="23" customFormat="false" ht="37.5" hidden="false" customHeight="true" outlineLevel="0" collapsed="false">
      <c r="A23" s="6" t="s">
        <v>817</v>
      </c>
      <c r="B23" s="6" t="s">
        <v>805</v>
      </c>
      <c r="C23" s="20" t="s">
        <v>818</v>
      </c>
      <c r="D23" s="6" t="s">
        <v>89</v>
      </c>
      <c r="E23" s="6" t="s">
        <v>769</v>
      </c>
      <c r="F23" s="6" t="s">
        <v>125</v>
      </c>
      <c r="G23" s="21" t="s">
        <v>16</v>
      </c>
      <c r="H23" s="20" t="s">
        <v>819</v>
      </c>
      <c r="I23" s="20" t="s">
        <v>820</v>
      </c>
      <c r="J23" s="22"/>
      <c r="K23" s="7" t="n">
        <v>0</v>
      </c>
      <c r="L23" s="23" t="s">
        <v>821</v>
      </c>
      <c r="M23" s="6" t="s">
        <v>822</v>
      </c>
    </row>
    <row r="24" customFormat="false" ht="37.5" hidden="false" customHeight="true" outlineLevel="0" collapsed="false">
      <c r="A24" s="11" t="s">
        <v>823</v>
      </c>
      <c r="B24" s="11" t="s">
        <v>805</v>
      </c>
      <c r="C24" s="24" t="s">
        <v>824</v>
      </c>
      <c r="D24" s="11" t="s">
        <v>89</v>
      </c>
      <c r="E24" s="11" t="s">
        <v>825</v>
      </c>
      <c r="F24" s="13" t="s">
        <v>91</v>
      </c>
      <c r="G24" s="21" t="s">
        <v>16</v>
      </c>
      <c r="H24" s="24" t="s">
        <v>826</v>
      </c>
      <c r="I24" s="24" t="s">
        <v>827</v>
      </c>
      <c r="J24" s="25"/>
      <c r="K24" s="12" t="n">
        <v>0</v>
      </c>
      <c r="L24" s="26" t="s">
        <v>828</v>
      </c>
      <c r="M24" s="11" t="s">
        <v>829</v>
      </c>
    </row>
    <row r="25" customFormat="false" ht="37.5" hidden="false" customHeight="true" outlineLevel="0" collapsed="false">
      <c r="A25" s="6" t="s">
        <v>830</v>
      </c>
      <c r="B25" s="6" t="s">
        <v>805</v>
      </c>
      <c r="C25" s="20" t="s">
        <v>831</v>
      </c>
      <c r="D25" s="6" t="s">
        <v>89</v>
      </c>
      <c r="E25" s="6" t="s">
        <v>832</v>
      </c>
      <c r="F25" s="6" t="s">
        <v>125</v>
      </c>
      <c r="G25" s="21" t="s">
        <v>16</v>
      </c>
      <c r="H25" s="20" t="s">
        <v>833</v>
      </c>
      <c r="I25" s="20" t="s">
        <v>834</v>
      </c>
      <c r="J25" s="22"/>
      <c r="K25" s="7" t="n">
        <v>0</v>
      </c>
      <c r="L25" s="23" t="s">
        <v>835</v>
      </c>
      <c r="M25" s="6" t="s">
        <v>836</v>
      </c>
    </row>
    <row r="27" customFormat="false" ht="21.75" hidden="false" customHeight="true" outlineLevel="0" collapsed="false">
      <c r="A27" s="19" t="s">
        <v>837</v>
      </c>
      <c r="B27" s="19"/>
      <c r="C27" s="19"/>
      <c r="D27" s="19"/>
      <c r="E27" s="19"/>
      <c r="F27" s="19"/>
      <c r="G27" s="19"/>
      <c r="H27" s="19"/>
      <c r="I27" s="19"/>
      <c r="J27" s="19"/>
      <c r="K27" s="19"/>
      <c r="L27" s="19"/>
      <c r="M27" s="19"/>
    </row>
    <row r="28" customFormat="false" ht="37.5" hidden="false" customHeight="true" outlineLevel="0" collapsed="false">
      <c r="A28" s="6" t="s">
        <v>838</v>
      </c>
      <c r="B28" s="6" t="s">
        <v>839</v>
      </c>
      <c r="C28" s="20" t="s">
        <v>840</v>
      </c>
      <c r="D28" s="6" t="s">
        <v>89</v>
      </c>
      <c r="E28" s="6" t="s">
        <v>841</v>
      </c>
      <c r="F28" s="27" t="s">
        <v>105</v>
      </c>
      <c r="G28" s="21" t="s">
        <v>16</v>
      </c>
      <c r="H28" s="20" t="s">
        <v>842</v>
      </c>
      <c r="I28" s="20" t="s">
        <v>843</v>
      </c>
      <c r="J28" s="22"/>
      <c r="K28" s="7" t="n">
        <v>0</v>
      </c>
      <c r="L28" s="23" t="s">
        <v>844</v>
      </c>
      <c r="M28" s="6" t="s">
        <v>845</v>
      </c>
    </row>
    <row r="29" customFormat="false" ht="37.5" hidden="false" customHeight="true" outlineLevel="0" collapsed="false">
      <c r="A29" s="11" t="s">
        <v>846</v>
      </c>
      <c r="B29" s="11" t="s">
        <v>839</v>
      </c>
      <c r="C29" s="24" t="s">
        <v>847</v>
      </c>
      <c r="D29" s="11" t="s">
        <v>89</v>
      </c>
      <c r="E29" s="11" t="s">
        <v>841</v>
      </c>
      <c r="F29" s="28" t="s">
        <v>105</v>
      </c>
      <c r="G29" s="21" t="s">
        <v>16</v>
      </c>
      <c r="H29" s="24" t="s">
        <v>848</v>
      </c>
      <c r="I29" s="24" t="s">
        <v>849</v>
      </c>
      <c r="J29" s="25"/>
      <c r="K29" s="12" t="n">
        <v>0</v>
      </c>
      <c r="L29" s="26" t="s">
        <v>850</v>
      </c>
      <c r="M29" s="11" t="s">
        <v>851</v>
      </c>
    </row>
    <row r="30" customFormat="false" ht="37.5" hidden="false" customHeight="true" outlineLevel="0" collapsed="false">
      <c r="A30" s="6" t="s">
        <v>852</v>
      </c>
      <c r="B30" s="6" t="s">
        <v>839</v>
      </c>
      <c r="C30" s="20" t="s">
        <v>853</v>
      </c>
      <c r="D30" s="6" t="s">
        <v>89</v>
      </c>
      <c r="E30" s="6" t="s">
        <v>832</v>
      </c>
      <c r="F30" s="6" t="s">
        <v>125</v>
      </c>
      <c r="G30" s="21" t="s">
        <v>16</v>
      </c>
      <c r="H30" s="20" t="s">
        <v>854</v>
      </c>
      <c r="I30" s="20" t="s">
        <v>855</v>
      </c>
      <c r="J30" s="22"/>
      <c r="K30" s="7" t="n">
        <v>0</v>
      </c>
      <c r="L30" s="23" t="s">
        <v>856</v>
      </c>
      <c r="M30" s="6" t="s">
        <v>857</v>
      </c>
    </row>
    <row r="31" customFormat="false" ht="37.5" hidden="false" customHeight="true" outlineLevel="0" collapsed="false">
      <c r="A31" s="11" t="s">
        <v>858</v>
      </c>
      <c r="B31" s="11" t="s">
        <v>839</v>
      </c>
      <c r="C31" s="24" t="s">
        <v>859</v>
      </c>
      <c r="D31" s="11" t="s">
        <v>89</v>
      </c>
      <c r="E31" s="11" t="s">
        <v>832</v>
      </c>
      <c r="F31" s="11" t="s">
        <v>125</v>
      </c>
      <c r="G31" s="21" t="s">
        <v>16</v>
      </c>
      <c r="H31" s="24" t="s">
        <v>860</v>
      </c>
      <c r="I31" s="24" t="s">
        <v>861</v>
      </c>
      <c r="J31" s="25"/>
      <c r="K31" s="12" t="n">
        <v>0</v>
      </c>
      <c r="L31" s="26" t="s">
        <v>862</v>
      </c>
      <c r="M31" s="11" t="s">
        <v>863</v>
      </c>
    </row>
    <row r="32" customFormat="false" ht="37.5" hidden="false" customHeight="true" outlineLevel="0" collapsed="false">
      <c r="A32" s="6" t="s">
        <v>864</v>
      </c>
      <c r="B32" s="6" t="s">
        <v>839</v>
      </c>
      <c r="C32" s="20" t="s">
        <v>865</v>
      </c>
      <c r="D32" s="6" t="s">
        <v>89</v>
      </c>
      <c r="E32" s="6" t="s">
        <v>832</v>
      </c>
      <c r="F32" s="6" t="s">
        <v>125</v>
      </c>
      <c r="G32" s="21" t="s">
        <v>16</v>
      </c>
      <c r="H32" s="20" t="s">
        <v>866</v>
      </c>
      <c r="I32" s="20" t="s">
        <v>867</v>
      </c>
      <c r="J32" s="22"/>
      <c r="K32" s="7" t="n">
        <v>0</v>
      </c>
      <c r="L32" s="23" t="s">
        <v>868</v>
      </c>
      <c r="M32" s="6" t="s">
        <v>869</v>
      </c>
    </row>
  </sheetData>
  <mergeCells count="6">
    <mergeCell ref="A1:M1"/>
    <mergeCell ref="A2:M2"/>
    <mergeCell ref="A4:M4"/>
    <mergeCell ref="A12:M12"/>
    <mergeCell ref="A20:M20"/>
    <mergeCell ref="A27:M2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E5090"/>
    <pageSetUpPr fitToPage="false"/>
  </sheetPr>
  <dimension ref="A1:M4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0"/>
    <col collapsed="false" customWidth="true" hidden="false" outlineLevel="0" max="3" min="3" style="0" width="55"/>
    <col collapsed="false" customWidth="true" hidden="false" outlineLevel="0" max="5" min="4" style="0" width="12"/>
    <col collapsed="false" customWidth="true" hidden="false" outlineLevel="0" max="6" min="6" style="0" width="10"/>
    <col collapsed="false" customWidth="true" hidden="false" outlineLevel="0" max="7" min="7" style="0" width="14"/>
    <col collapsed="false" customWidth="true" hidden="false" outlineLevel="0" max="8" min="8" style="0" width="28"/>
    <col collapsed="false" customWidth="true" hidden="false" outlineLevel="0" max="9" min="9" style="0" width="22"/>
    <col collapsed="false" customWidth="true" hidden="false" outlineLevel="0" max="10" min="10" style="0" width="18"/>
    <col collapsed="false" customWidth="true" hidden="false" outlineLevel="0" max="11" min="11" style="0" width="10"/>
    <col collapsed="false" customWidth="true" hidden="false" outlineLevel="0" max="12" min="12" style="0" width="50"/>
    <col collapsed="false" customWidth="true" hidden="false" outlineLevel="0" max="13" min="13" style="0" width="14"/>
  </cols>
  <sheetData>
    <row r="1" customFormat="false" ht="27.75" hidden="false" customHeight="true" outlineLevel="0" collapsed="false">
      <c r="A1" s="17" t="s">
        <v>870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</row>
    <row r="2" customFormat="false" ht="21.75" hidden="false" customHeight="true" outlineLevel="0" collapsed="false">
      <c r="A2" s="18" t="s">
        <v>72</v>
      </c>
      <c r="B2" s="18"/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</row>
    <row r="3" customFormat="false" ht="24" hidden="false" customHeight="true" outlineLevel="0" collapsed="false">
      <c r="A3" s="3" t="s">
        <v>73</v>
      </c>
      <c r="B3" s="3" t="s">
        <v>74</v>
      </c>
      <c r="C3" s="3" t="s">
        <v>75</v>
      </c>
      <c r="D3" s="3" t="s">
        <v>76</v>
      </c>
      <c r="E3" s="3" t="s">
        <v>77</v>
      </c>
      <c r="F3" s="3" t="s">
        <v>78</v>
      </c>
      <c r="G3" s="3" t="s">
        <v>9</v>
      </c>
      <c r="H3" s="3" t="s">
        <v>79</v>
      </c>
      <c r="I3" s="3" t="s">
        <v>80</v>
      </c>
      <c r="J3" s="3" t="s">
        <v>81</v>
      </c>
      <c r="K3" s="3" t="s">
        <v>82</v>
      </c>
      <c r="L3" s="3" t="s">
        <v>83</v>
      </c>
      <c r="M3" s="3" t="s">
        <v>84</v>
      </c>
    </row>
    <row r="4" customFormat="false" ht="21.75" hidden="false" customHeight="true" outlineLevel="0" collapsed="false">
      <c r="A4" s="19" t="s">
        <v>871</v>
      </c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</row>
    <row r="5" customFormat="false" ht="37.5" hidden="false" customHeight="true" outlineLevel="0" collapsed="false">
      <c r="A5" s="6" t="s">
        <v>872</v>
      </c>
      <c r="B5" s="6" t="s">
        <v>873</v>
      </c>
      <c r="C5" s="20" t="s">
        <v>874</v>
      </c>
      <c r="D5" s="6" t="s">
        <v>89</v>
      </c>
      <c r="E5" s="6" t="s">
        <v>330</v>
      </c>
      <c r="F5" s="8" t="s">
        <v>91</v>
      </c>
      <c r="G5" s="21" t="s">
        <v>16</v>
      </c>
      <c r="H5" s="20" t="s">
        <v>875</v>
      </c>
      <c r="I5" s="20" t="s">
        <v>876</v>
      </c>
      <c r="J5" s="22"/>
      <c r="K5" s="7" t="n">
        <v>0</v>
      </c>
      <c r="L5" s="23" t="s">
        <v>877</v>
      </c>
      <c r="M5" s="6" t="s">
        <v>878</v>
      </c>
    </row>
    <row r="6" customFormat="false" ht="37.5" hidden="false" customHeight="true" outlineLevel="0" collapsed="false">
      <c r="A6" s="11" t="s">
        <v>879</v>
      </c>
      <c r="B6" s="11" t="s">
        <v>873</v>
      </c>
      <c r="C6" s="24" t="s">
        <v>880</v>
      </c>
      <c r="D6" s="11" t="s">
        <v>89</v>
      </c>
      <c r="E6" s="11" t="s">
        <v>434</v>
      </c>
      <c r="F6" s="28" t="s">
        <v>105</v>
      </c>
      <c r="G6" s="21" t="s">
        <v>16</v>
      </c>
      <c r="H6" s="24" t="s">
        <v>881</v>
      </c>
      <c r="I6" s="24" t="s">
        <v>882</v>
      </c>
      <c r="J6" s="25"/>
      <c r="K6" s="12" t="n">
        <v>0</v>
      </c>
      <c r="L6" s="26" t="s">
        <v>883</v>
      </c>
      <c r="M6" s="11" t="s">
        <v>884</v>
      </c>
    </row>
    <row r="7" customFormat="false" ht="37.5" hidden="false" customHeight="true" outlineLevel="0" collapsed="false">
      <c r="A7" s="6" t="s">
        <v>885</v>
      </c>
      <c r="B7" s="6" t="s">
        <v>873</v>
      </c>
      <c r="C7" s="20" t="s">
        <v>886</v>
      </c>
      <c r="D7" s="6" t="s">
        <v>89</v>
      </c>
      <c r="E7" s="6" t="s">
        <v>623</v>
      </c>
      <c r="F7" s="8" t="s">
        <v>91</v>
      </c>
      <c r="G7" s="21" t="s">
        <v>16</v>
      </c>
      <c r="H7" s="20" t="s">
        <v>887</v>
      </c>
      <c r="I7" s="20" t="s">
        <v>888</v>
      </c>
      <c r="J7" s="22"/>
      <c r="K7" s="7" t="n">
        <v>0</v>
      </c>
      <c r="L7" s="23" t="s">
        <v>889</v>
      </c>
      <c r="M7" s="6" t="s">
        <v>890</v>
      </c>
    </row>
    <row r="8" customFormat="false" ht="37.5" hidden="false" customHeight="true" outlineLevel="0" collapsed="false">
      <c r="A8" s="11" t="s">
        <v>891</v>
      </c>
      <c r="B8" s="11" t="s">
        <v>873</v>
      </c>
      <c r="C8" s="24" t="s">
        <v>892</v>
      </c>
      <c r="D8" s="11" t="s">
        <v>89</v>
      </c>
      <c r="E8" s="11" t="s">
        <v>616</v>
      </c>
      <c r="F8" s="28" t="s">
        <v>105</v>
      </c>
      <c r="G8" s="21" t="s">
        <v>16</v>
      </c>
      <c r="H8" s="24" t="s">
        <v>893</v>
      </c>
      <c r="I8" s="24" t="s">
        <v>894</v>
      </c>
      <c r="J8" s="25"/>
      <c r="K8" s="12" t="n">
        <v>0</v>
      </c>
      <c r="L8" s="26" t="s">
        <v>895</v>
      </c>
      <c r="M8" s="11" t="s">
        <v>896</v>
      </c>
    </row>
    <row r="9" customFormat="false" ht="37.5" hidden="false" customHeight="true" outlineLevel="0" collapsed="false">
      <c r="A9" s="6" t="s">
        <v>897</v>
      </c>
      <c r="B9" s="6" t="s">
        <v>873</v>
      </c>
      <c r="C9" s="20" t="s">
        <v>898</v>
      </c>
      <c r="D9" s="6" t="s">
        <v>89</v>
      </c>
      <c r="E9" s="6" t="s">
        <v>681</v>
      </c>
      <c r="F9" s="27" t="s">
        <v>105</v>
      </c>
      <c r="G9" s="21" t="s">
        <v>16</v>
      </c>
      <c r="H9" s="20" t="s">
        <v>899</v>
      </c>
      <c r="I9" s="20" t="s">
        <v>900</v>
      </c>
      <c r="J9" s="22"/>
      <c r="K9" s="7" t="n">
        <v>0</v>
      </c>
      <c r="L9" s="23" t="s">
        <v>901</v>
      </c>
      <c r="M9" s="6" t="s">
        <v>902</v>
      </c>
    </row>
    <row r="10" customFormat="false" ht="37.5" hidden="false" customHeight="true" outlineLevel="0" collapsed="false">
      <c r="A10" s="11" t="s">
        <v>903</v>
      </c>
      <c r="B10" s="11" t="s">
        <v>873</v>
      </c>
      <c r="C10" s="24" t="s">
        <v>904</v>
      </c>
      <c r="D10" s="11" t="s">
        <v>89</v>
      </c>
      <c r="E10" s="11" t="s">
        <v>681</v>
      </c>
      <c r="F10" s="13" t="s">
        <v>91</v>
      </c>
      <c r="G10" s="21" t="s">
        <v>16</v>
      </c>
      <c r="H10" s="24" t="s">
        <v>905</v>
      </c>
      <c r="I10" s="24" t="s">
        <v>906</v>
      </c>
      <c r="J10" s="25"/>
      <c r="K10" s="12" t="n">
        <v>0</v>
      </c>
      <c r="L10" s="26" t="s">
        <v>907</v>
      </c>
      <c r="M10" s="11" t="s">
        <v>908</v>
      </c>
    </row>
    <row r="11" customFormat="false" ht="37.5" hidden="false" customHeight="true" outlineLevel="0" collapsed="false">
      <c r="A11" s="6" t="s">
        <v>909</v>
      </c>
      <c r="B11" s="6" t="s">
        <v>873</v>
      </c>
      <c r="C11" s="20" t="s">
        <v>910</v>
      </c>
      <c r="D11" s="6" t="s">
        <v>89</v>
      </c>
      <c r="E11" s="6" t="s">
        <v>681</v>
      </c>
      <c r="F11" s="8" t="s">
        <v>91</v>
      </c>
      <c r="G11" s="21" t="s">
        <v>16</v>
      </c>
      <c r="H11" s="20" t="s">
        <v>911</v>
      </c>
      <c r="I11" s="20" t="s">
        <v>912</v>
      </c>
      <c r="J11" s="22"/>
      <c r="K11" s="7" t="n">
        <v>0</v>
      </c>
      <c r="L11" s="23" t="s">
        <v>913</v>
      </c>
      <c r="M11" s="6" t="s">
        <v>914</v>
      </c>
    </row>
    <row r="13" customFormat="false" ht="21.75" hidden="false" customHeight="true" outlineLevel="0" collapsed="false">
      <c r="A13" s="19" t="s">
        <v>915</v>
      </c>
      <c r="B13" s="19"/>
      <c r="C13" s="19"/>
      <c r="D13" s="19"/>
      <c r="E13" s="19"/>
      <c r="F13" s="19"/>
      <c r="G13" s="19"/>
      <c r="H13" s="19"/>
      <c r="I13" s="19"/>
      <c r="J13" s="19"/>
      <c r="K13" s="19"/>
      <c r="L13" s="19"/>
      <c r="M13" s="19"/>
    </row>
    <row r="14" customFormat="false" ht="37.5" hidden="false" customHeight="true" outlineLevel="0" collapsed="false">
      <c r="A14" s="6" t="s">
        <v>916</v>
      </c>
      <c r="B14" s="6" t="s">
        <v>917</v>
      </c>
      <c r="C14" s="20" t="s">
        <v>918</v>
      </c>
      <c r="D14" s="6" t="s">
        <v>89</v>
      </c>
      <c r="E14" s="6" t="s">
        <v>441</v>
      </c>
      <c r="F14" s="27" t="s">
        <v>105</v>
      </c>
      <c r="G14" s="21" t="s">
        <v>16</v>
      </c>
      <c r="H14" s="20" t="s">
        <v>919</v>
      </c>
      <c r="I14" s="20" t="s">
        <v>920</v>
      </c>
      <c r="J14" s="22"/>
      <c r="K14" s="7" t="n">
        <v>0</v>
      </c>
      <c r="L14" s="23" t="s">
        <v>921</v>
      </c>
      <c r="M14" s="6" t="s">
        <v>922</v>
      </c>
    </row>
    <row r="15" customFormat="false" ht="37.5" hidden="false" customHeight="true" outlineLevel="0" collapsed="false">
      <c r="A15" s="11" t="s">
        <v>923</v>
      </c>
      <c r="B15" s="11" t="s">
        <v>917</v>
      </c>
      <c r="C15" s="24" t="s">
        <v>924</v>
      </c>
      <c r="D15" s="11" t="s">
        <v>89</v>
      </c>
      <c r="E15" s="11" t="s">
        <v>616</v>
      </c>
      <c r="F15" s="28" t="s">
        <v>105</v>
      </c>
      <c r="G15" s="21" t="s">
        <v>16</v>
      </c>
      <c r="H15" s="24" t="s">
        <v>925</v>
      </c>
      <c r="I15" s="24" t="s">
        <v>926</v>
      </c>
      <c r="J15" s="25"/>
      <c r="K15" s="12" t="n">
        <v>0</v>
      </c>
      <c r="L15" s="26" t="s">
        <v>927</v>
      </c>
      <c r="M15" s="11" t="s">
        <v>928</v>
      </c>
    </row>
    <row r="16" customFormat="false" ht="37.5" hidden="false" customHeight="true" outlineLevel="0" collapsed="false">
      <c r="A16" s="6" t="s">
        <v>929</v>
      </c>
      <c r="B16" s="6" t="s">
        <v>917</v>
      </c>
      <c r="C16" s="20" t="s">
        <v>930</v>
      </c>
      <c r="D16" s="6" t="s">
        <v>89</v>
      </c>
      <c r="E16" s="6" t="s">
        <v>623</v>
      </c>
      <c r="F16" s="8" t="s">
        <v>91</v>
      </c>
      <c r="G16" s="21" t="s">
        <v>16</v>
      </c>
      <c r="H16" s="20" t="s">
        <v>931</v>
      </c>
      <c r="I16" s="20" t="s">
        <v>926</v>
      </c>
      <c r="J16" s="22"/>
      <c r="K16" s="7" t="n">
        <v>0</v>
      </c>
      <c r="L16" s="23" t="s">
        <v>932</v>
      </c>
      <c r="M16" s="6" t="s">
        <v>933</v>
      </c>
    </row>
    <row r="17" customFormat="false" ht="37.5" hidden="false" customHeight="true" outlineLevel="0" collapsed="false">
      <c r="A17" s="11" t="s">
        <v>934</v>
      </c>
      <c r="B17" s="11" t="s">
        <v>917</v>
      </c>
      <c r="C17" s="24" t="s">
        <v>935</v>
      </c>
      <c r="D17" s="11" t="s">
        <v>89</v>
      </c>
      <c r="E17" s="11" t="s">
        <v>681</v>
      </c>
      <c r="F17" s="28" t="s">
        <v>105</v>
      </c>
      <c r="G17" s="21" t="s">
        <v>16</v>
      </c>
      <c r="H17" s="24" t="s">
        <v>936</v>
      </c>
      <c r="I17" s="24" t="s">
        <v>926</v>
      </c>
      <c r="J17" s="25"/>
      <c r="K17" s="12" t="n">
        <v>0</v>
      </c>
      <c r="L17" s="26" t="s">
        <v>937</v>
      </c>
      <c r="M17" s="11" t="s">
        <v>938</v>
      </c>
    </row>
    <row r="18" customFormat="false" ht="37.5" hidden="false" customHeight="true" outlineLevel="0" collapsed="false">
      <c r="A18" s="6" t="s">
        <v>939</v>
      </c>
      <c r="B18" s="6" t="s">
        <v>917</v>
      </c>
      <c r="C18" s="20" t="s">
        <v>940</v>
      </c>
      <c r="D18" s="6" t="s">
        <v>89</v>
      </c>
      <c r="E18" s="6" t="s">
        <v>681</v>
      </c>
      <c r="F18" s="6" t="s">
        <v>125</v>
      </c>
      <c r="G18" s="21" t="s">
        <v>16</v>
      </c>
      <c r="H18" s="20" t="s">
        <v>941</v>
      </c>
      <c r="I18" s="20" t="s">
        <v>942</v>
      </c>
      <c r="J18" s="22"/>
      <c r="K18" s="7" t="n">
        <v>0</v>
      </c>
      <c r="L18" s="23" t="s">
        <v>943</v>
      </c>
      <c r="M18" s="6" t="s">
        <v>944</v>
      </c>
    </row>
    <row r="19" customFormat="false" ht="37.5" hidden="false" customHeight="true" outlineLevel="0" collapsed="false">
      <c r="A19" s="11" t="s">
        <v>945</v>
      </c>
      <c r="B19" s="11" t="s">
        <v>917</v>
      </c>
      <c r="C19" s="24" t="s">
        <v>946</v>
      </c>
      <c r="D19" s="11" t="s">
        <v>89</v>
      </c>
      <c r="E19" s="11" t="s">
        <v>720</v>
      </c>
      <c r="F19" s="28" t="s">
        <v>105</v>
      </c>
      <c r="G19" s="21" t="s">
        <v>16</v>
      </c>
      <c r="H19" s="24" t="s">
        <v>947</v>
      </c>
      <c r="I19" s="24" t="s">
        <v>948</v>
      </c>
      <c r="J19" s="25"/>
      <c r="K19" s="12" t="n">
        <v>0</v>
      </c>
      <c r="L19" s="26" t="s">
        <v>949</v>
      </c>
      <c r="M19" s="11" t="s">
        <v>950</v>
      </c>
    </row>
    <row r="21" customFormat="false" ht="21.75" hidden="false" customHeight="true" outlineLevel="0" collapsed="false">
      <c r="A21" s="19" t="s">
        <v>951</v>
      </c>
      <c r="B21" s="19"/>
      <c r="C21" s="19"/>
      <c r="D21" s="19"/>
      <c r="E21" s="19"/>
      <c r="F21" s="19"/>
      <c r="G21" s="19"/>
      <c r="H21" s="19"/>
      <c r="I21" s="19"/>
      <c r="J21" s="19"/>
      <c r="K21" s="19"/>
      <c r="L21" s="19"/>
      <c r="M21" s="19"/>
    </row>
    <row r="22" customFormat="false" ht="37.5" hidden="false" customHeight="true" outlineLevel="0" collapsed="false">
      <c r="A22" s="6" t="s">
        <v>952</v>
      </c>
      <c r="B22" s="6" t="s">
        <v>953</v>
      </c>
      <c r="C22" s="20" t="s">
        <v>954</v>
      </c>
      <c r="D22" s="6" t="s">
        <v>89</v>
      </c>
      <c r="E22" s="6" t="s">
        <v>441</v>
      </c>
      <c r="F22" s="27" t="s">
        <v>105</v>
      </c>
      <c r="G22" s="21" t="s">
        <v>16</v>
      </c>
      <c r="H22" s="20" t="s">
        <v>955</v>
      </c>
      <c r="I22" s="20" t="s">
        <v>956</v>
      </c>
      <c r="J22" s="22"/>
      <c r="K22" s="7" t="n">
        <v>0</v>
      </c>
      <c r="L22" s="23" t="s">
        <v>957</v>
      </c>
      <c r="M22" s="6" t="s">
        <v>958</v>
      </c>
    </row>
    <row r="23" customFormat="false" ht="37.5" hidden="false" customHeight="true" outlineLevel="0" collapsed="false">
      <c r="A23" s="11" t="s">
        <v>959</v>
      </c>
      <c r="B23" s="11" t="s">
        <v>953</v>
      </c>
      <c r="C23" s="24" t="s">
        <v>960</v>
      </c>
      <c r="D23" s="11" t="s">
        <v>89</v>
      </c>
      <c r="E23" s="11" t="s">
        <v>441</v>
      </c>
      <c r="F23" s="28" t="s">
        <v>105</v>
      </c>
      <c r="G23" s="21" t="s">
        <v>16</v>
      </c>
      <c r="H23" s="24" t="s">
        <v>961</v>
      </c>
      <c r="I23" s="24" t="s">
        <v>962</v>
      </c>
      <c r="J23" s="25"/>
      <c r="K23" s="12" t="n">
        <v>0</v>
      </c>
      <c r="L23" s="26" t="s">
        <v>963</v>
      </c>
      <c r="M23" s="11" t="s">
        <v>964</v>
      </c>
    </row>
    <row r="24" customFormat="false" ht="37.5" hidden="false" customHeight="true" outlineLevel="0" collapsed="false">
      <c r="A24" s="6" t="s">
        <v>965</v>
      </c>
      <c r="B24" s="6" t="s">
        <v>953</v>
      </c>
      <c r="C24" s="20" t="s">
        <v>966</v>
      </c>
      <c r="D24" s="6" t="s">
        <v>89</v>
      </c>
      <c r="E24" s="6" t="s">
        <v>616</v>
      </c>
      <c r="F24" s="6" t="s">
        <v>125</v>
      </c>
      <c r="G24" s="21" t="s">
        <v>16</v>
      </c>
      <c r="H24" s="20" t="s">
        <v>967</v>
      </c>
      <c r="I24" s="20" t="s">
        <v>968</v>
      </c>
      <c r="J24" s="22"/>
      <c r="K24" s="7" t="n">
        <v>0</v>
      </c>
      <c r="L24" s="23" t="s">
        <v>969</v>
      </c>
      <c r="M24" s="6" t="s">
        <v>970</v>
      </c>
    </row>
    <row r="25" customFormat="false" ht="37.5" hidden="false" customHeight="true" outlineLevel="0" collapsed="false">
      <c r="A25" s="11" t="s">
        <v>971</v>
      </c>
      <c r="B25" s="11" t="s">
        <v>953</v>
      </c>
      <c r="C25" s="24" t="s">
        <v>972</v>
      </c>
      <c r="D25" s="11" t="s">
        <v>89</v>
      </c>
      <c r="E25" s="11" t="s">
        <v>616</v>
      </c>
      <c r="F25" s="11" t="s">
        <v>125</v>
      </c>
      <c r="G25" s="21" t="s">
        <v>16</v>
      </c>
      <c r="H25" s="24" t="s">
        <v>973</v>
      </c>
      <c r="I25" s="24" t="s">
        <v>974</v>
      </c>
      <c r="J25" s="25"/>
      <c r="K25" s="12" t="n">
        <v>0</v>
      </c>
      <c r="L25" s="26" t="s">
        <v>975</v>
      </c>
      <c r="M25" s="11" t="s">
        <v>976</v>
      </c>
    </row>
    <row r="26" customFormat="false" ht="37.5" hidden="false" customHeight="true" outlineLevel="0" collapsed="false">
      <c r="A26" s="6" t="s">
        <v>977</v>
      </c>
      <c r="B26" s="6" t="s">
        <v>953</v>
      </c>
      <c r="C26" s="20" t="s">
        <v>978</v>
      </c>
      <c r="D26" s="6" t="s">
        <v>89</v>
      </c>
      <c r="E26" s="6" t="s">
        <v>681</v>
      </c>
      <c r="F26" s="6" t="s">
        <v>125</v>
      </c>
      <c r="G26" s="21" t="s">
        <v>16</v>
      </c>
      <c r="H26" s="20" t="s">
        <v>979</v>
      </c>
      <c r="I26" s="20" t="s">
        <v>980</v>
      </c>
      <c r="J26" s="22"/>
      <c r="K26" s="7" t="n">
        <v>0</v>
      </c>
      <c r="L26" s="23" t="s">
        <v>981</v>
      </c>
      <c r="M26" s="6" t="s">
        <v>982</v>
      </c>
    </row>
    <row r="28" customFormat="false" ht="21.75" hidden="false" customHeight="true" outlineLevel="0" collapsed="false">
      <c r="A28" s="19" t="s">
        <v>983</v>
      </c>
      <c r="B28" s="19"/>
      <c r="C28" s="19"/>
      <c r="D28" s="19"/>
      <c r="E28" s="19"/>
      <c r="F28" s="19"/>
      <c r="G28" s="19"/>
      <c r="H28" s="19"/>
      <c r="I28" s="19"/>
      <c r="J28" s="19"/>
      <c r="K28" s="19"/>
      <c r="L28" s="19"/>
      <c r="M28" s="19"/>
    </row>
    <row r="29" customFormat="false" ht="37.5" hidden="false" customHeight="true" outlineLevel="0" collapsed="false">
      <c r="A29" s="6" t="s">
        <v>984</v>
      </c>
      <c r="B29" s="6" t="s">
        <v>985</v>
      </c>
      <c r="C29" s="20" t="s">
        <v>986</v>
      </c>
      <c r="D29" s="6" t="s">
        <v>89</v>
      </c>
      <c r="E29" s="6" t="s">
        <v>616</v>
      </c>
      <c r="F29" s="27" t="s">
        <v>105</v>
      </c>
      <c r="G29" s="21" t="s">
        <v>16</v>
      </c>
      <c r="H29" s="20" t="s">
        <v>987</v>
      </c>
      <c r="I29" s="20" t="s">
        <v>988</v>
      </c>
      <c r="J29" s="22"/>
      <c r="K29" s="7" t="n">
        <v>0</v>
      </c>
      <c r="L29" s="23" t="s">
        <v>989</v>
      </c>
      <c r="M29" s="6" t="s">
        <v>990</v>
      </c>
    </row>
    <row r="30" customFormat="false" ht="37.5" hidden="false" customHeight="true" outlineLevel="0" collapsed="false">
      <c r="A30" s="11" t="s">
        <v>991</v>
      </c>
      <c r="B30" s="11" t="s">
        <v>985</v>
      </c>
      <c r="C30" s="24" t="s">
        <v>992</v>
      </c>
      <c r="D30" s="11" t="s">
        <v>89</v>
      </c>
      <c r="E30" s="11" t="s">
        <v>681</v>
      </c>
      <c r="F30" s="28" t="s">
        <v>105</v>
      </c>
      <c r="G30" s="21" t="s">
        <v>16</v>
      </c>
      <c r="H30" s="24" t="s">
        <v>993</v>
      </c>
      <c r="I30" s="24" t="s">
        <v>994</v>
      </c>
      <c r="J30" s="25"/>
      <c r="K30" s="12" t="n">
        <v>0</v>
      </c>
      <c r="L30" s="26" t="s">
        <v>995</v>
      </c>
      <c r="M30" s="11" t="s">
        <v>996</v>
      </c>
    </row>
    <row r="31" customFormat="false" ht="37.5" hidden="false" customHeight="true" outlineLevel="0" collapsed="false">
      <c r="A31" s="6" t="s">
        <v>997</v>
      </c>
      <c r="B31" s="6" t="s">
        <v>985</v>
      </c>
      <c r="C31" s="20" t="s">
        <v>998</v>
      </c>
      <c r="D31" s="6" t="s">
        <v>89</v>
      </c>
      <c r="E31" s="6" t="s">
        <v>999</v>
      </c>
      <c r="F31" s="6" t="s">
        <v>125</v>
      </c>
      <c r="G31" s="21" t="s">
        <v>16</v>
      </c>
      <c r="H31" s="20" t="s">
        <v>1000</v>
      </c>
      <c r="I31" s="20" t="s">
        <v>1001</v>
      </c>
      <c r="J31" s="22"/>
      <c r="K31" s="7" t="n">
        <v>0</v>
      </c>
      <c r="L31" s="23" t="s">
        <v>1002</v>
      </c>
      <c r="M31" s="6" t="s">
        <v>1003</v>
      </c>
    </row>
    <row r="32" customFormat="false" ht="37.5" hidden="false" customHeight="true" outlineLevel="0" collapsed="false">
      <c r="A32" s="11" t="s">
        <v>1004</v>
      </c>
      <c r="B32" s="11" t="s">
        <v>985</v>
      </c>
      <c r="C32" s="24" t="s">
        <v>1005</v>
      </c>
      <c r="D32" s="11" t="s">
        <v>89</v>
      </c>
      <c r="E32" s="11" t="s">
        <v>999</v>
      </c>
      <c r="F32" s="11" t="s">
        <v>125</v>
      </c>
      <c r="G32" s="21" t="s">
        <v>16</v>
      </c>
      <c r="H32" s="24" t="s">
        <v>1006</v>
      </c>
      <c r="I32" s="24" t="s">
        <v>1007</v>
      </c>
      <c r="J32" s="25"/>
      <c r="K32" s="12" t="n">
        <v>0</v>
      </c>
      <c r="L32" s="26" t="s">
        <v>1008</v>
      </c>
      <c r="M32" s="11" t="s">
        <v>1009</v>
      </c>
    </row>
    <row r="33" customFormat="false" ht="37.5" hidden="false" customHeight="true" outlineLevel="0" collapsed="false">
      <c r="A33" s="6" t="s">
        <v>1010</v>
      </c>
      <c r="B33" s="6" t="s">
        <v>985</v>
      </c>
      <c r="C33" s="20" t="s">
        <v>1011</v>
      </c>
      <c r="D33" s="6" t="s">
        <v>89</v>
      </c>
      <c r="E33" s="6" t="s">
        <v>1012</v>
      </c>
      <c r="F33" s="6" t="s">
        <v>125</v>
      </c>
      <c r="G33" s="21" t="s">
        <v>16</v>
      </c>
      <c r="H33" s="20" t="s">
        <v>1013</v>
      </c>
      <c r="I33" s="20" t="s">
        <v>1014</v>
      </c>
      <c r="J33" s="22"/>
      <c r="K33" s="7" t="n">
        <v>0</v>
      </c>
      <c r="L33" s="23" t="s">
        <v>1015</v>
      </c>
      <c r="M33" s="6" t="s">
        <v>1016</v>
      </c>
    </row>
    <row r="35" customFormat="false" ht="21.75" hidden="false" customHeight="true" outlineLevel="0" collapsed="false">
      <c r="A35" s="19" t="s">
        <v>1017</v>
      </c>
      <c r="B35" s="19"/>
      <c r="C35" s="19"/>
      <c r="D35" s="19"/>
      <c r="E35" s="19"/>
      <c r="F35" s="19"/>
      <c r="G35" s="19"/>
      <c r="H35" s="19"/>
      <c r="I35" s="19"/>
      <c r="J35" s="19"/>
      <c r="K35" s="19"/>
      <c r="L35" s="19"/>
      <c r="M35" s="19"/>
    </row>
    <row r="36" customFormat="false" ht="37.5" hidden="false" customHeight="true" outlineLevel="0" collapsed="false">
      <c r="A36" s="6" t="s">
        <v>1018</v>
      </c>
      <c r="B36" s="6" t="s">
        <v>1019</v>
      </c>
      <c r="C36" s="20" t="s">
        <v>1020</v>
      </c>
      <c r="D36" s="6" t="s">
        <v>89</v>
      </c>
      <c r="E36" s="6" t="s">
        <v>1012</v>
      </c>
      <c r="F36" s="27" t="s">
        <v>105</v>
      </c>
      <c r="G36" s="21" t="s">
        <v>16</v>
      </c>
      <c r="H36" s="20" t="s">
        <v>1021</v>
      </c>
      <c r="I36" s="20" t="s">
        <v>1022</v>
      </c>
      <c r="J36" s="22"/>
      <c r="K36" s="7" t="n">
        <v>0</v>
      </c>
      <c r="L36" s="23" t="s">
        <v>1023</v>
      </c>
      <c r="M36" s="6" t="s">
        <v>1024</v>
      </c>
    </row>
    <row r="37" customFormat="false" ht="37.5" hidden="false" customHeight="true" outlineLevel="0" collapsed="false">
      <c r="A37" s="11" t="s">
        <v>1025</v>
      </c>
      <c r="B37" s="11" t="s">
        <v>1019</v>
      </c>
      <c r="C37" s="24" t="s">
        <v>1026</v>
      </c>
      <c r="D37" s="11" t="s">
        <v>89</v>
      </c>
      <c r="E37" s="11" t="s">
        <v>1027</v>
      </c>
      <c r="F37" s="11" t="s">
        <v>125</v>
      </c>
      <c r="G37" s="21" t="s">
        <v>16</v>
      </c>
      <c r="H37" s="24" t="s">
        <v>1028</v>
      </c>
      <c r="I37" s="24" t="s">
        <v>1029</v>
      </c>
      <c r="J37" s="25"/>
      <c r="K37" s="12" t="n">
        <v>0</v>
      </c>
      <c r="L37" s="26" t="s">
        <v>1030</v>
      </c>
      <c r="M37" s="11" t="s">
        <v>1031</v>
      </c>
    </row>
    <row r="38" customFormat="false" ht="37.5" hidden="false" customHeight="true" outlineLevel="0" collapsed="false">
      <c r="A38" s="6" t="s">
        <v>1032</v>
      </c>
      <c r="B38" s="6" t="s">
        <v>1019</v>
      </c>
      <c r="C38" s="20" t="s">
        <v>1033</v>
      </c>
      <c r="D38" s="6" t="s">
        <v>89</v>
      </c>
      <c r="E38" s="6" t="s">
        <v>1034</v>
      </c>
      <c r="F38" s="6" t="s">
        <v>125</v>
      </c>
      <c r="G38" s="21" t="s">
        <v>16</v>
      </c>
      <c r="H38" s="20" t="s">
        <v>1035</v>
      </c>
      <c r="I38" s="20" t="s">
        <v>1036</v>
      </c>
      <c r="J38" s="22"/>
      <c r="K38" s="7" t="n">
        <v>0</v>
      </c>
      <c r="L38" s="23" t="s">
        <v>1037</v>
      </c>
      <c r="M38" s="6" t="s">
        <v>1038</v>
      </c>
    </row>
    <row r="39" customFormat="false" ht="37.5" hidden="false" customHeight="true" outlineLevel="0" collapsed="false">
      <c r="A39" s="11" t="s">
        <v>1039</v>
      </c>
      <c r="B39" s="11" t="s">
        <v>1019</v>
      </c>
      <c r="C39" s="24" t="s">
        <v>1040</v>
      </c>
      <c r="D39" s="11" t="s">
        <v>89</v>
      </c>
      <c r="E39" s="11" t="s">
        <v>1034</v>
      </c>
      <c r="F39" s="11" t="s">
        <v>125</v>
      </c>
      <c r="G39" s="21" t="s">
        <v>16</v>
      </c>
      <c r="H39" s="24" t="s">
        <v>1041</v>
      </c>
      <c r="I39" s="24" t="s">
        <v>1042</v>
      </c>
      <c r="J39" s="25"/>
      <c r="K39" s="12" t="n">
        <v>0</v>
      </c>
      <c r="L39" s="26" t="s">
        <v>1043</v>
      </c>
      <c r="M39" s="11" t="s">
        <v>1044</v>
      </c>
    </row>
    <row r="40" customFormat="false" ht="37.5" hidden="false" customHeight="true" outlineLevel="0" collapsed="false">
      <c r="A40" s="6" t="s">
        <v>1045</v>
      </c>
      <c r="B40" s="6" t="s">
        <v>1019</v>
      </c>
      <c r="C40" s="20" t="s">
        <v>1046</v>
      </c>
      <c r="D40" s="6" t="s">
        <v>89</v>
      </c>
      <c r="E40" s="6" t="s">
        <v>769</v>
      </c>
      <c r="F40" s="6" t="s">
        <v>125</v>
      </c>
      <c r="G40" s="21" t="s">
        <v>16</v>
      </c>
      <c r="H40" s="20" t="s">
        <v>1047</v>
      </c>
      <c r="I40" s="20" t="s">
        <v>1048</v>
      </c>
      <c r="J40" s="22"/>
      <c r="K40" s="7" t="n">
        <v>0</v>
      </c>
      <c r="L40" s="23" t="s">
        <v>1049</v>
      </c>
      <c r="M40" s="6" t="s">
        <v>1050</v>
      </c>
    </row>
  </sheetData>
  <mergeCells count="7">
    <mergeCell ref="A1:M1"/>
    <mergeCell ref="A2:M2"/>
    <mergeCell ref="A4:M4"/>
    <mergeCell ref="A13:M13"/>
    <mergeCell ref="A21:M21"/>
    <mergeCell ref="A28:M28"/>
    <mergeCell ref="A35:M3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E5090"/>
    <pageSetUpPr fitToPage="false"/>
  </sheetPr>
  <dimension ref="A1:M3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0"/>
    <col collapsed="false" customWidth="true" hidden="false" outlineLevel="0" max="3" min="3" style="0" width="55"/>
    <col collapsed="false" customWidth="true" hidden="false" outlineLevel="0" max="5" min="4" style="0" width="12"/>
    <col collapsed="false" customWidth="true" hidden="false" outlineLevel="0" max="6" min="6" style="0" width="10"/>
    <col collapsed="false" customWidth="true" hidden="false" outlineLevel="0" max="7" min="7" style="0" width="14"/>
    <col collapsed="false" customWidth="true" hidden="false" outlineLevel="0" max="8" min="8" style="0" width="28"/>
    <col collapsed="false" customWidth="true" hidden="false" outlineLevel="0" max="9" min="9" style="0" width="22"/>
    <col collapsed="false" customWidth="true" hidden="false" outlineLevel="0" max="10" min="10" style="0" width="18"/>
    <col collapsed="false" customWidth="true" hidden="false" outlineLevel="0" max="11" min="11" style="0" width="10"/>
    <col collapsed="false" customWidth="true" hidden="false" outlineLevel="0" max="12" min="12" style="0" width="50"/>
    <col collapsed="false" customWidth="true" hidden="false" outlineLevel="0" max="13" min="13" style="0" width="14"/>
  </cols>
  <sheetData>
    <row r="1" customFormat="false" ht="27.75" hidden="false" customHeight="true" outlineLevel="0" collapsed="false">
      <c r="A1" s="17" t="s">
        <v>1051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</row>
    <row r="2" customFormat="false" ht="21.75" hidden="false" customHeight="true" outlineLevel="0" collapsed="false">
      <c r="A2" s="18" t="s">
        <v>72</v>
      </c>
      <c r="B2" s="18"/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</row>
    <row r="3" customFormat="false" ht="24" hidden="false" customHeight="true" outlineLevel="0" collapsed="false">
      <c r="A3" s="3" t="s">
        <v>73</v>
      </c>
      <c r="B3" s="3" t="s">
        <v>74</v>
      </c>
      <c r="C3" s="3" t="s">
        <v>75</v>
      </c>
      <c r="D3" s="3" t="s">
        <v>76</v>
      </c>
      <c r="E3" s="3" t="s">
        <v>77</v>
      </c>
      <c r="F3" s="3" t="s">
        <v>78</v>
      </c>
      <c r="G3" s="3" t="s">
        <v>9</v>
      </c>
      <c r="H3" s="3" t="s">
        <v>79</v>
      </c>
      <c r="I3" s="3" t="s">
        <v>80</v>
      </c>
      <c r="J3" s="3" t="s">
        <v>81</v>
      </c>
      <c r="K3" s="3" t="s">
        <v>82</v>
      </c>
      <c r="L3" s="3" t="s">
        <v>83</v>
      </c>
      <c r="M3" s="3" t="s">
        <v>84</v>
      </c>
    </row>
    <row r="4" customFormat="false" ht="21.75" hidden="false" customHeight="true" outlineLevel="0" collapsed="false">
      <c r="A4" s="19" t="s">
        <v>1052</v>
      </c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</row>
    <row r="5" customFormat="false" ht="37.5" hidden="false" customHeight="true" outlineLevel="0" collapsed="false">
      <c r="A5" s="6" t="s">
        <v>1053</v>
      </c>
      <c r="B5" s="6" t="s">
        <v>1054</v>
      </c>
      <c r="C5" s="20" t="s">
        <v>1055</v>
      </c>
      <c r="D5" s="6" t="s">
        <v>89</v>
      </c>
      <c r="E5" s="6" t="s">
        <v>623</v>
      </c>
      <c r="F5" s="27" t="s">
        <v>105</v>
      </c>
      <c r="G5" s="21" t="s">
        <v>16</v>
      </c>
      <c r="H5" s="20" t="s">
        <v>1056</v>
      </c>
      <c r="I5" s="20" t="s">
        <v>1057</v>
      </c>
      <c r="J5" s="22"/>
      <c r="K5" s="7" t="n">
        <v>0</v>
      </c>
      <c r="L5" s="23" t="s">
        <v>1058</v>
      </c>
      <c r="M5" s="6" t="s">
        <v>1059</v>
      </c>
    </row>
    <row r="6" customFormat="false" ht="37.5" hidden="false" customHeight="true" outlineLevel="0" collapsed="false">
      <c r="A6" s="11" t="s">
        <v>1060</v>
      </c>
      <c r="B6" s="11" t="s">
        <v>1054</v>
      </c>
      <c r="C6" s="24" t="s">
        <v>1061</v>
      </c>
      <c r="D6" s="11" t="s">
        <v>89</v>
      </c>
      <c r="E6" s="11" t="s">
        <v>681</v>
      </c>
      <c r="F6" s="28" t="s">
        <v>105</v>
      </c>
      <c r="G6" s="21" t="s">
        <v>16</v>
      </c>
      <c r="H6" s="24" t="s">
        <v>1062</v>
      </c>
      <c r="I6" s="24" t="s">
        <v>1063</v>
      </c>
      <c r="J6" s="25"/>
      <c r="K6" s="12" t="n">
        <v>0</v>
      </c>
      <c r="L6" s="26" t="s">
        <v>1064</v>
      </c>
      <c r="M6" s="11" t="s">
        <v>1065</v>
      </c>
    </row>
    <row r="7" customFormat="false" ht="37.5" hidden="false" customHeight="true" outlineLevel="0" collapsed="false">
      <c r="A7" s="6" t="s">
        <v>1066</v>
      </c>
      <c r="B7" s="6" t="s">
        <v>1054</v>
      </c>
      <c r="C7" s="20" t="s">
        <v>1067</v>
      </c>
      <c r="D7" s="6" t="s">
        <v>89</v>
      </c>
      <c r="E7" s="6" t="s">
        <v>1012</v>
      </c>
      <c r="F7" s="27" t="s">
        <v>105</v>
      </c>
      <c r="G7" s="21" t="s">
        <v>16</v>
      </c>
      <c r="H7" s="20" t="s">
        <v>1068</v>
      </c>
      <c r="I7" s="20" t="s">
        <v>1069</v>
      </c>
      <c r="J7" s="22"/>
      <c r="K7" s="7" t="n">
        <v>0</v>
      </c>
      <c r="L7" s="23" t="s">
        <v>1070</v>
      </c>
      <c r="M7" s="6" t="s">
        <v>1071</v>
      </c>
    </row>
    <row r="8" customFormat="false" ht="37.5" hidden="false" customHeight="true" outlineLevel="0" collapsed="false">
      <c r="A8" s="11" t="s">
        <v>1072</v>
      </c>
      <c r="B8" s="11" t="s">
        <v>1054</v>
      </c>
      <c r="C8" s="24" t="s">
        <v>1073</v>
      </c>
      <c r="D8" s="11" t="s">
        <v>89</v>
      </c>
      <c r="E8" s="11" t="s">
        <v>1027</v>
      </c>
      <c r="F8" s="28" t="s">
        <v>105</v>
      </c>
      <c r="G8" s="21" t="s">
        <v>16</v>
      </c>
      <c r="H8" s="24" t="s">
        <v>1074</v>
      </c>
      <c r="I8" s="24" t="s">
        <v>1075</v>
      </c>
      <c r="J8" s="25"/>
      <c r="K8" s="12" t="n">
        <v>0</v>
      </c>
      <c r="L8" s="26" t="s">
        <v>1076</v>
      </c>
      <c r="M8" s="11" t="s">
        <v>1077</v>
      </c>
    </row>
    <row r="9" customFormat="false" ht="37.5" hidden="false" customHeight="true" outlineLevel="0" collapsed="false">
      <c r="A9" s="6" t="s">
        <v>1078</v>
      </c>
      <c r="B9" s="6" t="s">
        <v>1054</v>
      </c>
      <c r="C9" s="20" t="s">
        <v>1079</v>
      </c>
      <c r="D9" s="6" t="s">
        <v>89</v>
      </c>
      <c r="E9" s="6" t="s">
        <v>1080</v>
      </c>
      <c r="F9" s="27" t="s">
        <v>105</v>
      </c>
      <c r="G9" s="21" t="s">
        <v>16</v>
      </c>
      <c r="H9" s="20" t="s">
        <v>1081</v>
      </c>
      <c r="I9" s="20" t="s">
        <v>1082</v>
      </c>
      <c r="J9" s="22"/>
      <c r="K9" s="7" t="n">
        <v>0</v>
      </c>
      <c r="L9" s="23" t="s">
        <v>1083</v>
      </c>
      <c r="M9" s="6" t="s">
        <v>1084</v>
      </c>
    </row>
    <row r="10" customFormat="false" ht="37.5" hidden="false" customHeight="true" outlineLevel="0" collapsed="false">
      <c r="A10" s="11" t="s">
        <v>1085</v>
      </c>
      <c r="B10" s="11" t="s">
        <v>1054</v>
      </c>
      <c r="C10" s="24" t="s">
        <v>1086</v>
      </c>
      <c r="D10" s="11" t="s">
        <v>89</v>
      </c>
      <c r="E10" s="11" t="s">
        <v>1087</v>
      </c>
      <c r="F10" s="11" t="s">
        <v>125</v>
      </c>
      <c r="G10" s="21" t="s">
        <v>16</v>
      </c>
      <c r="H10" s="24" t="s">
        <v>1088</v>
      </c>
      <c r="I10" s="24" t="s">
        <v>1089</v>
      </c>
      <c r="J10" s="25"/>
      <c r="K10" s="12" t="n">
        <v>0</v>
      </c>
      <c r="L10" s="26" t="s">
        <v>1090</v>
      </c>
      <c r="M10" s="11" t="s">
        <v>1091</v>
      </c>
    </row>
    <row r="12" customFormat="false" ht="21.75" hidden="false" customHeight="true" outlineLevel="0" collapsed="false">
      <c r="A12" s="19" t="s">
        <v>1092</v>
      </c>
      <c r="B12" s="19"/>
      <c r="C12" s="19"/>
      <c r="D12" s="19"/>
      <c r="E12" s="19"/>
      <c r="F12" s="19"/>
      <c r="G12" s="19"/>
      <c r="H12" s="19"/>
      <c r="I12" s="19"/>
      <c r="J12" s="19"/>
      <c r="K12" s="19"/>
      <c r="L12" s="19"/>
      <c r="M12" s="19"/>
    </row>
    <row r="13" customFormat="false" ht="37.5" hidden="false" customHeight="true" outlineLevel="0" collapsed="false">
      <c r="A13" s="6" t="s">
        <v>1093</v>
      </c>
      <c r="B13" s="6" t="s">
        <v>1094</v>
      </c>
      <c r="C13" s="20" t="s">
        <v>1095</v>
      </c>
      <c r="D13" s="6" t="s">
        <v>89</v>
      </c>
      <c r="E13" s="6" t="s">
        <v>616</v>
      </c>
      <c r="F13" s="27" t="s">
        <v>105</v>
      </c>
      <c r="G13" s="21" t="s">
        <v>16</v>
      </c>
      <c r="H13" s="20" t="s">
        <v>1096</v>
      </c>
      <c r="I13" s="20" t="s">
        <v>1097</v>
      </c>
      <c r="J13" s="22"/>
      <c r="K13" s="7" t="n">
        <v>0</v>
      </c>
      <c r="L13" s="23" t="s">
        <v>1098</v>
      </c>
      <c r="M13" s="6" t="s">
        <v>1099</v>
      </c>
    </row>
    <row r="14" customFormat="false" ht="37.5" hidden="false" customHeight="true" outlineLevel="0" collapsed="false">
      <c r="A14" s="11" t="s">
        <v>1100</v>
      </c>
      <c r="B14" s="11" t="s">
        <v>1094</v>
      </c>
      <c r="C14" s="24" t="s">
        <v>1101</v>
      </c>
      <c r="D14" s="11" t="s">
        <v>89</v>
      </c>
      <c r="E14" s="11" t="s">
        <v>720</v>
      </c>
      <c r="F14" s="28" t="s">
        <v>105</v>
      </c>
      <c r="G14" s="21" t="s">
        <v>16</v>
      </c>
      <c r="H14" s="24" t="s">
        <v>1102</v>
      </c>
      <c r="I14" s="24" t="s">
        <v>1103</v>
      </c>
      <c r="J14" s="25"/>
      <c r="K14" s="12" t="n">
        <v>0</v>
      </c>
      <c r="L14" s="26" t="s">
        <v>1104</v>
      </c>
      <c r="M14" s="11" t="s">
        <v>1105</v>
      </c>
    </row>
    <row r="15" customFormat="false" ht="37.5" hidden="false" customHeight="true" outlineLevel="0" collapsed="false">
      <c r="A15" s="6" t="s">
        <v>1106</v>
      </c>
      <c r="B15" s="6" t="s">
        <v>1094</v>
      </c>
      <c r="C15" s="20" t="s">
        <v>1107</v>
      </c>
      <c r="D15" s="6" t="s">
        <v>89</v>
      </c>
      <c r="E15" s="6" t="s">
        <v>1012</v>
      </c>
      <c r="F15" s="27" t="s">
        <v>105</v>
      </c>
      <c r="G15" s="21" t="s">
        <v>16</v>
      </c>
      <c r="H15" s="20" t="s">
        <v>1108</v>
      </c>
      <c r="I15" s="20" t="s">
        <v>1109</v>
      </c>
      <c r="J15" s="22"/>
      <c r="K15" s="7" t="n">
        <v>0</v>
      </c>
      <c r="L15" s="23" t="s">
        <v>1110</v>
      </c>
      <c r="M15" s="6" t="s">
        <v>530</v>
      </c>
    </row>
    <row r="16" customFormat="false" ht="37.5" hidden="false" customHeight="true" outlineLevel="0" collapsed="false">
      <c r="A16" s="11" t="s">
        <v>1111</v>
      </c>
      <c r="B16" s="11" t="s">
        <v>1094</v>
      </c>
      <c r="C16" s="24" t="s">
        <v>1112</v>
      </c>
      <c r="D16" s="11" t="s">
        <v>89</v>
      </c>
      <c r="E16" s="11" t="s">
        <v>1113</v>
      </c>
      <c r="F16" s="11" t="s">
        <v>125</v>
      </c>
      <c r="G16" s="21" t="s">
        <v>16</v>
      </c>
      <c r="H16" s="24" t="s">
        <v>1114</v>
      </c>
      <c r="I16" s="24" t="s">
        <v>1115</v>
      </c>
      <c r="J16" s="25"/>
      <c r="K16" s="12" t="n">
        <v>0</v>
      </c>
      <c r="L16" s="26" t="s">
        <v>1116</v>
      </c>
      <c r="M16" s="11" t="s">
        <v>1117</v>
      </c>
    </row>
    <row r="17" customFormat="false" ht="37.5" hidden="false" customHeight="true" outlineLevel="0" collapsed="false">
      <c r="A17" s="6" t="s">
        <v>1118</v>
      </c>
      <c r="B17" s="6" t="s">
        <v>1094</v>
      </c>
      <c r="C17" s="20" t="s">
        <v>1119</v>
      </c>
      <c r="D17" s="6" t="s">
        <v>89</v>
      </c>
      <c r="E17" s="6" t="s">
        <v>60</v>
      </c>
      <c r="F17" s="6" t="s">
        <v>125</v>
      </c>
      <c r="G17" s="21" t="s">
        <v>16</v>
      </c>
      <c r="H17" s="20" t="s">
        <v>540</v>
      </c>
      <c r="I17" s="20" t="s">
        <v>1120</v>
      </c>
      <c r="J17" s="22"/>
      <c r="K17" s="7" t="n">
        <v>0</v>
      </c>
      <c r="L17" s="23" t="s">
        <v>1121</v>
      </c>
      <c r="M17" s="6" t="s">
        <v>543</v>
      </c>
    </row>
    <row r="18" customFormat="false" ht="37.5" hidden="false" customHeight="true" outlineLevel="0" collapsed="false">
      <c r="A18" s="11" t="s">
        <v>1122</v>
      </c>
      <c r="B18" s="11" t="s">
        <v>1094</v>
      </c>
      <c r="C18" s="24" t="s">
        <v>1123</v>
      </c>
      <c r="D18" s="11" t="s">
        <v>89</v>
      </c>
      <c r="E18" s="11" t="s">
        <v>55</v>
      </c>
      <c r="F18" s="11" t="s">
        <v>125</v>
      </c>
      <c r="G18" s="21" t="s">
        <v>16</v>
      </c>
      <c r="H18" s="24" t="s">
        <v>1124</v>
      </c>
      <c r="I18" s="24" t="s">
        <v>1125</v>
      </c>
      <c r="J18" s="25"/>
      <c r="K18" s="12" t="n">
        <v>0</v>
      </c>
      <c r="L18" s="26" t="s">
        <v>1126</v>
      </c>
      <c r="M18" s="11" t="s">
        <v>1127</v>
      </c>
    </row>
    <row r="20" customFormat="false" ht="21.75" hidden="false" customHeight="true" outlineLevel="0" collapsed="false">
      <c r="A20" s="19" t="s">
        <v>1128</v>
      </c>
      <c r="B20" s="19"/>
      <c r="C20" s="19"/>
      <c r="D20" s="19"/>
      <c r="E20" s="19"/>
      <c r="F20" s="19"/>
      <c r="G20" s="19"/>
      <c r="H20" s="19"/>
      <c r="I20" s="19"/>
      <c r="J20" s="19"/>
      <c r="K20" s="19"/>
      <c r="L20" s="19"/>
      <c r="M20" s="19"/>
    </row>
    <row r="21" customFormat="false" ht="37.5" hidden="false" customHeight="true" outlineLevel="0" collapsed="false">
      <c r="A21" s="6" t="s">
        <v>1129</v>
      </c>
      <c r="B21" s="6" t="s">
        <v>1130</v>
      </c>
      <c r="C21" s="20" t="s">
        <v>1131</v>
      </c>
      <c r="D21" s="6" t="s">
        <v>89</v>
      </c>
      <c r="E21" s="6" t="s">
        <v>1012</v>
      </c>
      <c r="F21" s="27" t="s">
        <v>105</v>
      </c>
      <c r="G21" s="21" t="s">
        <v>16</v>
      </c>
      <c r="H21" s="20" t="s">
        <v>1132</v>
      </c>
      <c r="I21" s="20" t="s">
        <v>1133</v>
      </c>
      <c r="J21" s="22"/>
      <c r="K21" s="7" t="n">
        <v>0</v>
      </c>
      <c r="L21" s="23" t="s">
        <v>1134</v>
      </c>
      <c r="M21" s="6" t="s">
        <v>1135</v>
      </c>
    </row>
    <row r="22" customFormat="false" ht="37.5" hidden="false" customHeight="true" outlineLevel="0" collapsed="false">
      <c r="A22" s="11" t="s">
        <v>1136</v>
      </c>
      <c r="B22" s="11" t="s">
        <v>1130</v>
      </c>
      <c r="C22" s="24" t="s">
        <v>1137</v>
      </c>
      <c r="D22" s="11" t="s">
        <v>89</v>
      </c>
      <c r="E22" s="11" t="s">
        <v>1138</v>
      </c>
      <c r="F22" s="28" t="s">
        <v>105</v>
      </c>
      <c r="G22" s="21" t="s">
        <v>16</v>
      </c>
      <c r="H22" s="24" t="s">
        <v>1139</v>
      </c>
      <c r="I22" s="24" t="s">
        <v>1140</v>
      </c>
      <c r="J22" s="25"/>
      <c r="K22" s="12" t="n">
        <v>0</v>
      </c>
      <c r="L22" s="26" t="s">
        <v>1141</v>
      </c>
      <c r="M22" s="11" t="s">
        <v>1142</v>
      </c>
    </row>
    <row r="23" customFormat="false" ht="37.5" hidden="false" customHeight="true" outlineLevel="0" collapsed="false">
      <c r="A23" s="6" t="s">
        <v>1143</v>
      </c>
      <c r="B23" s="6" t="s">
        <v>1130</v>
      </c>
      <c r="C23" s="20" t="s">
        <v>1144</v>
      </c>
      <c r="D23" s="6" t="s">
        <v>89</v>
      </c>
      <c r="E23" s="6" t="s">
        <v>1113</v>
      </c>
      <c r="F23" s="27" t="s">
        <v>105</v>
      </c>
      <c r="G23" s="21" t="s">
        <v>16</v>
      </c>
      <c r="H23" s="20" t="s">
        <v>1145</v>
      </c>
      <c r="I23" s="20" t="s">
        <v>1146</v>
      </c>
      <c r="J23" s="22"/>
      <c r="K23" s="7" t="n">
        <v>0</v>
      </c>
      <c r="L23" s="23" t="s">
        <v>1147</v>
      </c>
      <c r="M23" s="6" t="s">
        <v>1148</v>
      </c>
    </row>
    <row r="24" customFormat="false" ht="37.5" hidden="false" customHeight="true" outlineLevel="0" collapsed="false">
      <c r="A24" s="11" t="s">
        <v>1149</v>
      </c>
      <c r="B24" s="11" t="s">
        <v>1130</v>
      </c>
      <c r="C24" s="24" t="s">
        <v>1150</v>
      </c>
      <c r="D24" s="11" t="s">
        <v>89</v>
      </c>
      <c r="E24" s="11" t="s">
        <v>1151</v>
      </c>
      <c r="F24" s="11" t="s">
        <v>125</v>
      </c>
      <c r="G24" s="21" t="s">
        <v>16</v>
      </c>
      <c r="H24" s="24" t="s">
        <v>1152</v>
      </c>
      <c r="I24" s="24" t="s">
        <v>1153</v>
      </c>
      <c r="J24" s="25"/>
      <c r="K24" s="12" t="n">
        <v>0</v>
      </c>
      <c r="L24" s="26" t="s">
        <v>1154</v>
      </c>
      <c r="M24" s="11" t="s">
        <v>1155</v>
      </c>
    </row>
    <row r="25" customFormat="false" ht="37.5" hidden="false" customHeight="true" outlineLevel="0" collapsed="false">
      <c r="A25" s="6" t="s">
        <v>1156</v>
      </c>
      <c r="B25" s="6" t="s">
        <v>1130</v>
      </c>
      <c r="C25" s="20" t="s">
        <v>1157</v>
      </c>
      <c r="D25" s="6" t="s">
        <v>89</v>
      </c>
      <c r="E25" s="6" t="s">
        <v>1158</v>
      </c>
      <c r="F25" s="6" t="s">
        <v>125</v>
      </c>
      <c r="G25" s="21" t="s">
        <v>16</v>
      </c>
      <c r="H25" s="20" t="s">
        <v>1159</v>
      </c>
      <c r="I25" s="20" t="s">
        <v>1160</v>
      </c>
      <c r="J25" s="22"/>
      <c r="K25" s="7" t="n">
        <v>0</v>
      </c>
      <c r="L25" s="23" t="s">
        <v>1161</v>
      </c>
      <c r="M25" s="6" t="s">
        <v>1162</v>
      </c>
    </row>
    <row r="27" customFormat="false" ht="21.75" hidden="false" customHeight="true" outlineLevel="0" collapsed="false">
      <c r="A27" s="19" t="s">
        <v>1163</v>
      </c>
      <c r="B27" s="19"/>
      <c r="C27" s="19"/>
      <c r="D27" s="19"/>
      <c r="E27" s="19"/>
      <c r="F27" s="19"/>
      <c r="G27" s="19"/>
      <c r="H27" s="19"/>
      <c r="I27" s="19"/>
      <c r="J27" s="19"/>
      <c r="K27" s="19"/>
      <c r="L27" s="19"/>
      <c r="M27" s="19"/>
    </row>
    <row r="28" customFormat="false" ht="37.5" hidden="false" customHeight="true" outlineLevel="0" collapsed="false">
      <c r="A28" s="6" t="s">
        <v>1164</v>
      </c>
      <c r="B28" s="6" t="s">
        <v>1165</v>
      </c>
      <c r="C28" s="20" t="s">
        <v>1166</v>
      </c>
      <c r="D28" s="6" t="s">
        <v>89</v>
      </c>
      <c r="E28" s="6" t="s">
        <v>769</v>
      </c>
      <c r="F28" s="6" t="s">
        <v>125</v>
      </c>
      <c r="G28" s="21" t="s">
        <v>16</v>
      </c>
      <c r="H28" s="20" t="s">
        <v>1167</v>
      </c>
      <c r="I28" s="20" t="s">
        <v>1168</v>
      </c>
      <c r="J28" s="22"/>
      <c r="K28" s="7" t="n">
        <v>0</v>
      </c>
      <c r="L28" s="23" t="s">
        <v>1169</v>
      </c>
      <c r="M28" s="6" t="s">
        <v>1170</v>
      </c>
    </row>
    <row r="29" customFormat="false" ht="37.5" hidden="false" customHeight="true" outlineLevel="0" collapsed="false">
      <c r="A29" s="11" t="s">
        <v>1171</v>
      </c>
      <c r="B29" s="11" t="s">
        <v>1165</v>
      </c>
      <c r="C29" s="24" t="s">
        <v>1172</v>
      </c>
      <c r="D29" s="11" t="s">
        <v>89</v>
      </c>
      <c r="E29" s="11" t="s">
        <v>841</v>
      </c>
      <c r="F29" s="11" t="s">
        <v>125</v>
      </c>
      <c r="G29" s="21" t="s">
        <v>16</v>
      </c>
      <c r="H29" s="24" t="s">
        <v>1173</v>
      </c>
      <c r="I29" s="24" t="s">
        <v>1174</v>
      </c>
      <c r="J29" s="25"/>
      <c r="K29" s="12" t="n">
        <v>0</v>
      </c>
      <c r="L29" s="26" t="s">
        <v>1175</v>
      </c>
      <c r="M29" s="11" t="s">
        <v>1176</v>
      </c>
    </row>
    <row r="30" customFormat="false" ht="37.5" hidden="false" customHeight="true" outlineLevel="0" collapsed="false">
      <c r="A30" s="6" t="s">
        <v>1177</v>
      </c>
      <c r="B30" s="6" t="s">
        <v>1165</v>
      </c>
      <c r="C30" s="20" t="s">
        <v>1178</v>
      </c>
      <c r="D30" s="6" t="s">
        <v>89</v>
      </c>
      <c r="E30" s="6" t="s">
        <v>1151</v>
      </c>
      <c r="F30" s="6" t="s">
        <v>125</v>
      </c>
      <c r="G30" s="21" t="s">
        <v>16</v>
      </c>
      <c r="H30" s="20" t="s">
        <v>1179</v>
      </c>
      <c r="I30" s="20" t="s">
        <v>1180</v>
      </c>
      <c r="J30" s="22"/>
      <c r="K30" s="7" t="n">
        <v>0</v>
      </c>
      <c r="L30" s="23" t="s">
        <v>1181</v>
      </c>
      <c r="M30" s="6" t="s">
        <v>1182</v>
      </c>
    </row>
    <row r="31" customFormat="false" ht="37.5" hidden="false" customHeight="true" outlineLevel="0" collapsed="false">
      <c r="A31" s="11" t="s">
        <v>1183</v>
      </c>
      <c r="B31" s="11" t="s">
        <v>1165</v>
      </c>
      <c r="C31" s="24" t="s">
        <v>1184</v>
      </c>
      <c r="D31" s="11" t="s">
        <v>89</v>
      </c>
      <c r="E31" s="11" t="s">
        <v>1158</v>
      </c>
      <c r="F31" s="11" t="s">
        <v>125</v>
      </c>
      <c r="G31" s="21" t="s">
        <v>16</v>
      </c>
      <c r="H31" s="24" t="s">
        <v>1185</v>
      </c>
      <c r="I31" s="24" t="s">
        <v>1186</v>
      </c>
      <c r="J31" s="25"/>
      <c r="K31" s="12" t="n">
        <v>0</v>
      </c>
      <c r="L31" s="26" t="s">
        <v>1187</v>
      </c>
      <c r="M31" s="11" t="s">
        <v>1188</v>
      </c>
    </row>
    <row r="33" customFormat="false" ht="21.75" hidden="false" customHeight="true" outlineLevel="0" collapsed="false">
      <c r="A33" s="19" t="s">
        <v>1189</v>
      </c>
      <c r="B33" s="19"/>
      <c r="C33" s="19"/>
      <c r="D33" s="19"/>
      <c r="E33" s="19"/>
      <c r="F33" s="19"/>
      <c r="G33" s="19"/>
      <c r="H33" s="19"/>
      <c r="I33" s="19"/>
      <c r="J33" s="19"/>
      <c r="K33" s="19"/>
      <c r="L33" s="19"/>
      <c r="M33" s="19"/>
    </row>
    <row r="34" customFormat="false" ht="37.5" hidden="false" customHeight="true" outlineLevel="0" collapsed="false">
      <c r="A34" s="6" t="s">
        <v>1190</v>
      </c>
      <c r="B34" s="6" t="s">
        <v>1191</v>
      </c>
      <c r="C34" s="20" t="s">
        <v>1192</v>
      </c>
      <c r="D34" s="6" t="s">
        <v>89</v>
      </c>
      <c r="E34" s="6" t="s">
        <v>832</v>
      </c>
      <c r="F34" s="27" t="s">
        <v>105</v>
      </c>
      <c r="G34" s="21" t="s">
        <v>16</v>
      </c>
      <c r="H34" s="20" t="s">
        <v>1193</v>
      </c>
      <c r="I34" s="20" t="s">
        <v>1194</v>
      </c>
      <c r="J34" s="22"/>
      <c r="K34" s="7" t="n">
        <v>0</v>
      </c>
      <c r="L34" s="23" t="s">
        <v>1195</v>
      </c>
      <c r="M34" s="6" t="s">
        <v>1196</v>
      </c>
    </row>
    <row r="35" customFormat="false" ht="37.5" hidden="false" customHeight="true" outlineLevel="0" collapsed="false">
      <c r="A35" s="11" t="s">
        <v>1197</v>
      </c>
      <c r="B35" s="11" t="s">
        <v>1191</v>
      </c>
      <c r="C35" s="24" t="s">
        <v>1198</v>
      </c>
      <c r="D35" s="11" t="s">
        <v>89</v>
      </c>
      <c r="E35" s="11" t="s">
        <v>1199</v>
      </c>
      <c r="F35" s="28" t="s">
        <v>105</v>
      </c>
      <c r="G35" s="21" t="s">
        <v>16</v>
      </c>
      <c r="H35" s="24" t="s">
        <v>1200</v>
      </c>
      <c r="I35" s="24" t="s">
        <v>1201</v>
      </c>
      <c r="J35" s="25"/>
      <c r="K35" s="12" t="n">
        <v>0</v>
      </c>
      <c r="L35" s="26" t="s">
        <v>1202</v>
      </c>
      <c r="M35" s="11" t="s">
        <v>1203</v>
      </c>
    </row>
    <row r="36" customFormat="false" ht="37.5" hidden="false" customHeight="true" outlineLevel="0" collapsed="false">
      <c r="A36" s="6" t="s">
        <v>1204</v>
      </c>
      <c r="B36" s="6" t="s">
        <v>1191</v>
      </c>
      <c r="C36" s="20" t="s">
        <v>1205</v>
      </c>
      <c r="D36" s="6" t="s">
        <v>89</v>
      </c>
      <c r="E36" s="6" t="s">
        <v>1158</v>
      </c>
      <c r="F36" s="6" t="s">
        <v>125</v>
      </c>
      <c r="G36" s="21" t="s">
        <v>16</v>
      </c>
      <c r="H36" s="20" t="s">
        <v>1206</v>
      </c>
      <c r="I36" s="20" t="s">
        <v>1207</v>
      </c>
      <c r="J36" s="22"/>
      <c r="K36" s="7" t="n">
        <v>0</v>
      </c>
      <c r="L36" s="23" t="s">
        <v>1208</v>
      </c>
      <c r="M36" s="6" t="s">
        <v>1209</v>
      </c>
    </row>
    <row r="37" customFormat="false" ht="37.5" hidden="false" customHeight="true" outlineLevel="0" collapsed="false">
      <c r="A37" s="11" t="s">
        <v>1210</v>
      </c>
      <c r="B37" s="11" t="s">
        <v>1191</v>
      </c>
      <c r="C37" s="24" t="s">
        <v>1211</v>
      </c>
      <c r="D37" s="11" t="s">
        <v>89</v>
      </c>
      <c r="E37" s="11" t="s">
        <v>1212</v>
      </c>
      <c r="F37" s="11" t="s">
        <v>125</v>
      </c>
      <c r="G37" s="21" t="s">
        <v>16</v>
      </c>
      <c r="H37" s="24" t="s">
        <v>1213</v>
      </c>
      <c r="I37" s="24" t="s">
        <v>1214</v>
      </c>
      <c r="J37" s="25"/>
      <c r="K37" s="12" t="n">
        <v>0</v>
      </c>
      <c r="L37" s="26" t="s">
        <v>1215</v>
      </c>
      <c r="M37" s="11" t="s">
        <v>1216</v>
      </c>
    </row>
    <row r="38" customFormat="false" ht="37.5" hidden="false" customHeight="true" outlineLevel="0" collapsed="false">
      <c r="A38" s="6" t="s">
        <v>1217</v>
      </c>
      <c r="B38" s="6" t="s">
        <v>1191</v>
      </c>
      <c r="C38" s="20" t="s">
        <v>1218</v>
      </c>
      <c r="D38" s="6" t="s">
        <v>89</v>
      </c>
      <c r="E38" s="6" t="s">
        <v>1219</v>
      </c>
      <c r="F38" s="6" t="s">
        <v>125</v>
      </c>
      <c r="G38" s="21" t="s">
        <v>16</v>
      </c>
      <c r="H38" s="20" t="s">
        <v>1220</v>
      </c>
      <c r="I38" s="20" t="s">
        <v>1221</v>
      </c>
      <c r="J38" s="22"/>
      <c r="K38" s="7" t="n">
        <v>0</v>
      </c>
      <c r="L38" s="23" t="s">
        <v>1222</v>
      </c>
      <c r="M38" s="6" t="s">
        <v>1223</v>
      </c>
    </row>
  </sheetData>
  <mergeCells count="7">
    <mergeCell ref="A1:M1"/>
    <mergeCell ref="A2:M2"/>
    <mergeCell ref="A4:M4"/>
    <mergeCell ref="A12:M12"/>
    <mergeCell ref="A20:M20"/>
    <mergeCell ref="A27:M27"/>
    <mergeCell ref="A33:M3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E5090"/>
    <pageSetUpPr fitToPage="false"/>
  </sheetPr>
  <dimension ref="A1:M3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0"/>
    <col collapsed="false" customWidth="true" hidden="false" outlineLevel="0" max="3" min="3" style="0" width="55"/>
    <col collapsed="false" customWidth="true" hidden="false" outlineLevel="0" max="5" min="4" style="0" width="12"/>
    <col collapsed="false" customWidth="true" hidden="false" outlineLevel="0" max="6" min="6" style="0" width="10"/>
    <col collapsed="false" customWidth="true" hidden="false" outlineLevel="0" max="7" min="7" style="0" width="14"/>
    <col collapsed="false" customWidth="true" hidden="false" outlineLevel="0" max="8" min="8" style="0" width="28"/>
    <col collapsed="false" customWidth="true" hidden="false" outlineLevel="0" max="9" min="9" style="0" width="22"/>
    <col collapsed="false" customWidth="true" hidden="false" outlineLevel="0" max="10" min="10" style="0" width="18"/>
    <col collapsed="false" customWidth="true" hidden="false" outlineLevel="0" max="11" min="11" style="0" width="10"/>
    <col collapsed="false" customWidth="true" hidden="false" outlineLevel="0" max="12" min="12" style="0" width="50"/>
    <col collapsed="false" customWidth="true" hidden="false" outlineLevel="0" max="13" min="13" style="0" width="14"/>
  </cols>
  <sheetData>
    <row r="1" customFormat="false" ht="27.75" hidden="false" customHeight="true" outlineLevel="0" collapsed="false">
      <c r="A1" s="17" t="s">
        <v>1224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</row>
    <row r="2" customFormat="false" ht="21.75" hidden="false" customHeight="true" outlineLevel="0" collapsed="false">
      <c r="A2" s="18" t="s">
        <v>72</v>
      </c>
      <c r="B2" s="18"/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</row>
    <row r="3" customFormat="false" ht="24" hidden="false" customHeight="true" outlineLevel="0" collapsed="false">
      <c r="A3" s="3" t="s">
        <v>73</v>
      </c>
      <c r="B3" s="3" t="s">
        <v>74</v>
      </c>
      <c r="C3" s="3" t="s">
        <v>75</v>
      </c>
      <c r="D3" s="3" t="s">
        <v>76</v>
      </c>
      <c r="E3" s="3" t="s">
        <v>77</v>
      </c>
      <c r="F3" s="3" t="s">
        <v>78</v>
      </c>
      <c r="G3" s="3" t="s">
        <v>9</v>
      </c>
      <c r="H3" s="3" t="s">
        <v>79</v>
      </c>
      <c r="I3" s="3" t="s">
        <v>80</v>
      </c>
      <c r="J3" s="3" t="s">
        <v>81</v>
      </c>
      <c r="K3" s="3" t="s">
        <v>82</v>
      </c>
      <c r="L3" s="3" t="s">
        <v>83</v>
      </c>
      <c r="M3" s="3" t="s">
        <v>84</v>
      </c>
    </row>
    <row r="4" customFormat="false" ht="21.75" hidden="false" customHeight="true" outlineLevel="0" collapsed="false">
      <c r="A4" s="19" t="s">
        <v>1225</v>
      </c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</row>
    <row r="5" customFormat="false" ht="37.5" hidden="false" customHeight="true" outlineLevel="0" collapsed="false">
      <c r="A5" s="6" t="s">
        <v>1226</v>
      </c>
      <c r="B5" s="6" t="s">
        <v>1227</v>
      </c>
      <c r="C5" s="20" t="s">
        <v>1228</v>
      </c>
      <c r="D5" s="6" t="s">
        <v>89</v>
      </c>
      <c r="E5" s="6" t="s">
        <v>769</v>
      </c>
      <c r="F5" s="27" t="s">
        <v>105</v>
      </c>
      <c r="G5" s="21" t="s">
        <v>16</v>
      </c>
      <c r="H5" s="20" t="s">
        <v>1229</v>
      </c>
      <c r="I5" s="20" t="s">
        <v>1230</v>
      </c>
      <c r="J5" s="22"/>
      <c r="K5" s="7" t="n">
        <v>0</v>
      </c>
      <c r="L5" s="23" t="s">
        <v>1231</v>
      </c>
      <c r="M5" s="6" t="s">
        <v>1232</v>
      </c>
    </row>
    <row r="6" customFormat="false" ht="37.5" hidden="false" customHeight="true" outlineLevel="0" collapsed="false">
      <c r="A6" s="11" t="s">
        <v>1233</v>
      </c>
      <c r="B6" s="11" t="s">
        <v>1227</v>
      </c>
      <c r="C6" s="24" t="s">
        <v>1234</v>
      </c>
      <c r="D6" s="11" t="s">
        <v>89</v>
      </c>
      <c r="E6" s="11" t="s">
        <v>769</v>
      </c>
      <c r="F6" s="28" t="s">
        <v>105</v>
      </c>
      <c r="G6" s="21" t="s">
        <v>16</v>
      </c>
      <c r="H6" s="24" t="s">
        <v>1235</v>
      </c>
      <c r="I6" s="24" t="s">
        <v>1236</v>
      </c>
      <c r="J6" s="25"/>
      <c r="K6" s="12" t="n">
        <v>0</v>
      </c>
      <c r="L6" s="26" t="s">
        <v>1237</v>
      </c>
      <c r="M6" s="11" t="s">
        <v>1238</v>
      </c>
    </row>
    <row r="7" customFormat="false" ht="37.5" hidden="false" customHeight="true" outlineLevel="0" collapsed="false">
      <c r="A7" s="6" t="s">
        <v>1239</v>
      </c>
      <c r="B7" s="6" t="s">
        <v>1227</v>
      </c>
      <c r="C7" s="20" t="s">
        <v>1240</v>
      </c>
      <c r="D7" s="6" t="s">
        <v>89</v>
      </c>
      <c r="E7" s="6" t="s">
        <v>841</v>
      </c>
      <c r="F7" s="27" t="s">
        <v>105</v>
      </c>
      <c r="G7" s="21" t="s">
        <v>16</v>
      </c>
      <c r="H7" s="20" t="s">
        <v>1241</v>
      </c>
      <c r="I7" s="20" t="s">
        <v>1242</v>
      </c>
      <c r="J7" s="22"/>
      <c r="K7" s="7" t="n">
        <v>0</v>
      </c>
      <c r="L7" s="23" t="s">
        <v>1243</v>
      </c>
      <c r="M7" s="6" t="s">
        <v>1244</v>
      </c>
    </row>
    <row r="8" customFormat="false" ht="37.5" hidden="false" customHeight="true" outlineLevel="0" collapsed="false">
      <c r="A8" s="11" t="s">
        <v>1245</v>
      </c>
      <c r="B8" s="11" t="s">
        <v>1227</v>
      </c>
      <c r="C8" s="24" t="s">
        <v>1246</v>
      </c>
      <c r="D8" s="11" t="s">
        <v>89</v>
      </c>
      <c r="E8" s="11" t="s">
        <v>841</v>
      </c>
      <c r="F8" s="28" t="s">
        <v>105</v>
      </c>
      <c r="G8" s="21" t="s">
        <v>16</v>
      </c>
      <c r="H8" s="24" t="s">
        <v>1247</v>
      </c>
      <c r="I8" s="24" t="s">
        <v>1248</v>
      </c>
      <c r="J8" s="25"/>
      <c r="K8" s="12" t="n">
        <v>0</v>
      </c>
      <c r="L8" s="26" t="s">
        <v>1249</v>
      </c>
      <c r="M8" s="11" t="s">
        <v>1250</v>
      </c>
    </row>
    <row r="9" customFormat="false" ht="37.5" hidden="false" customHeight="true" outlineLevel="0" collapsed="false">
      <c r="A9" s="6" t="s">
        <v>1251</v>
      </c>
      <c r="B9" s="6" t="s">
        <v>1227</v>
      </c>
      <c r="C9" s="20" t="s">
        <v>1252</v>
      </c>
      <c r="D9" s="6" t="s">
        <v>89</v>
      </c>
      <c r="E9" s="6" t="s">
        <v>825</v>
      </c>
      <c r="F9" s="8" t="s">
        <v>91</v>
      </c>
      <c r="G9" s="21" t="s">
        <v>16</v>
      </c>
      <c r="H9" s="20" t="s">
        <v>1253</v>
      </c>
      <c r="I9" s="20" t="s">
        <v>1254</v>
      </c>
      <c r="J9" s="22"/>
      <c r="K9" s="7" t="n">
        <v>0</v>
      </c>
      <c r="L9" s="23" t="s">
        <v>1255</v>
      </c>
      <c r="M9" s="6" t="s">
        <v>705</v>
      </c>
    </row>
    <row r="11" customFormat="false" ht="21.75" hidden="false" customHeight="true" outlineLevel="0" collapsed="false">
      <c r="A11" s="19" t="s">
        <v>1256</v>
      </c>
      <c r="B11" s="19"/>
      <c r="C11" s="19"/>
      <c r="D11" s="19"/>
      <c r="E11" s="19"/>
      <c r="F11" s="19"/>
      <c r="G11" s="19"/>
      <c r="H11" s="19"/>
      <c r="I11" s="19"/>
      <c r="J11" s="19"/>
      <c r="K11" s="19"/>
      <c r="L11" s="19"/>
      <c r="M11" s="19"/>
    </row>
    <row r="12" customFormat="false" ht="37.5" hidden="false" customHeight="true" outlineLevel="0" collapsed="false">
      <c r="A12" s="6" t="s">
        <v>1257</v>
      </c>
      <c r="B12" s="6" t="s">
        <v>1258</v>
      </c>
      <c r="C12" s="20" t="s">
        <v>1259</v>
      </c>
      <c r="D12" s="6" t="s">
        <v>89</v>
      </c>
      <c r="E12" s="6" t="s">
        <v>832</v>
      </c>
      <c r="F12" s="8" t="s">
        <v>91</v>
      </c>
      <c r="G12" s="21" t="s">
        <v>16</v>
      </c>
      <c r="H12" s="20" t="s">
        <v>1260</v>
      </c>
      <c r="I12" s="20" t="s">
        <v>1261</v>
      </c>
      <c r="J12" s="22"/>
      <c r="K12" s="7" t="n">
        <v>0</v>
      </c>
      <c r="L12" s="23" t="s">
        <v>1262</v>
      </c>
      <c r="M12" s="6" t="s">
        <v>1263</v>
      </c>
    </row>
    <row r="13" customFormat="false" ht="37.5" hidden="false" customHeight="true" outlineLevel="0" collapsed="false">
      <c r="A13" s="11" t="s">
        <v>1264</v>
      </c>
      <c r="B13" s="11" t="s">
        <v>1258</v>
      </c>
      <c r="C13" s="24" t="s">
        <v>1265</v>
      </c>
      <c r="D13" s="11" t="s">
        <v>89</v>
      </c>
      <c r="E13" s="11" t="s">
        <v>832</v>
      </c>
      <c r="F13" s="13" t="s">
        <v>91</v>
      </c>
      <c r="G13" s="21" t="s">
        <v>16</v>
      </c>
      <c r="H13" s="24" t="s">
        <v>1266</v>
      </c>
      <c r="I13" s="24" t="s">
        <v>1267</v>
      </c>
      <c r="J13" s="25"/>
      <c r="K13" s="12" t="n">
        <v>0</v>
      </c>
      <c r="L13" s="26" t="s">
        <v>1268</v>
      </c>
      <c r="M13" s="11" t="s">
        <v>1269</v>
      </c>
    </row>
    <row r="14" customFormat="false" ht="37.5" hidden="false" customHeight="true" outlineLevel="0" collapsed="false">
      <c r="A14" s="6" t="s">
        <v>1270</v>
      </c>
      <c r="B14" s="6" t="s">
        <v>1258</v>
      </c>
      <c r="C14" s="20" t="s">
        <v>1271</v>
      </c>
      <c r="D14" s="6" t="s">
        <v>89</v>
      </c>
      <c r="E14" s="6" t="s">
        <v>1199</v>
      </c>
      <c r="F14" s="8" t="s">
        <v>91</v>
      </c>
      <c r="G14" s="21" t="s">
        <v>16</v>
      </c>
      <c r="H14" s="20" t="s">
        <v>1272</v>
      </c>
      <c r="I14" s="20" t="s">
        <v>1273</v>
      </c>
      <c r="J14" s="22"/>
      <c r="K14" s="7" t="n">
        <v>0</v>
      </c>
      <c r="L14" s="23" t="s">
        <v>1274</v>
      </c>
      <c r="M14" s="6" t="s">
        <v>1275</v>
      </c>
    </row>
    <row r="15" customFormat="false" ht="37.5" hidden="false" customHeight="true" outlineLevel="0" collapsed="false">
      <c r="A15" s="11" t="s">
        <v>1276</v>
      </c>
      <c r="B15" s="11" t="s">
        <v>1258</v>
      </c>
      <c r="C15" s="24" t="s">
        <v>1277</v>
      </c>
      <c r="D15" s="11" t="s">
        <v>89</v>
      </c>
      <c r="E15" s="11" t="s">
        <v>1199</v>
      </c>
      <c r="F15" s="28" t="s">
        <v>105</v>
      </c>
      <c r="G15" s="21" t="s">
        <v>16</v>
      </c>
      <c r="H15" s="24" t="s">
        <v>1278</v>
      </c>
      <c r="I15" s="24" t="s">
        <v>1279</v>
      </c>
      <c r="J15" s="25"/>
      <c r="K15" s="12" t="n">
        <v>0</v>
      </c>
      <c r="L15" s="26" t="s">
        <v>1280</v>
      </c>
      <c r="M15" s="11" t="s">
        <v>1281</v>
      </c>
    </row>
    <row r="16" customFormat="false" ht="37.5" hidden="false" customHeight="true" outlineLevel="0" collapsed="false">
      <c r="A16" s="6" t="s">
        <v>1282</v>
      </c>
      <c r="B16" s="6" t="s">
        <v>1258</v>
      </c>
      <c r="C16" s="20" t="s">
        <v>1283</v>
      </c>
      <c r="D16" s="6" t="s">
        <v>89</v>
      </c>
      <c r="E16" s="6" t="s">
        <v>1284</v>
      </c>
      <c r="F16" s="27" t="s">
        <v>105</v>
      </c>
      <c r="G16" s="21" t="s">
        <v>16</v>
      </c>
      <c r="H16" s="20" t="s">
        <v>1285</v>
      </c>
      <c r="I16" s="20" t="s">
        <v>1286</v>
      </c>
      <c r="J16" s="22"/>
      <c r="K16" s="7" t="n">
        <v>0</v>
      </c>
      <c r="L16" s="23" t="s">
        <v>1287</v>
      </c>
      <c r="M16" s="6" t="s">
        <v>1288</v>
      </c>
    </row>
    <row r="18" customFormat="false" ht="21.75" hidden="false" customHeight="true" outlineLevel="0" collapsed="false">
      <c r="A18" s="19" t="s">
        <v>1289</v>
      </c>
      <c r="B18" s="19"/>
      <c r="C18" s="19"/>
      <c r="D18" s="19"/>
      <c r="E18" s="19"/>
      <c r="F18" s="19"/>
      <c r="G18" s="19"/>
      <c r="H18" s="19"/>
      <c r="I18" s="19"/>
      <c r="J18" s="19"/>
      <c r="K18" s="19"/>
      <c r="L18" s="19"/>
      <c r="M18" s="19"/>
    </row>
    <row r="19" customFormat="false" ht="37.5" hidden="false" customHeight="true" outlineLevel="0" collapsed="false">
      <c r="A19" s="6" t="s">
        <v>1290</v>
      </c>
      <c r="B19" s="6" t="s">
        <v>1291</v>
      </c>
      <c r="C19" s="20" t="s">
        <v>1292</v>
      </c>
      <c r="D19" s="6" t="s">
        <v>89</v>
      </c>
      <c r="E19" s="6" t="s">
        <v>1284</v>
      </c>
      <c r="F19" s="27" t="s">
        <v>105</v>
      </c>
      <c r="G19" s="21" t="s">
        <v>16</v>
      </c>
      <c r="H19" s="20" t="s">
        <v>1293</v>
      </c>
      <c r="I19" s="20" t="s">
        <v>1294</v>
      </c>
      <c r="J19" s="22"/>
      <c r="K19" s="7" t="n">
        <v>0</v>
      </c>
      <c r="L19" s="23" t="s">
        <v>1295</v>
      </c>
      <c r="M19" s="6" t="s">
        <v>1296</v>
      </c>
    </row>
    <row r="20" customFormat="false" ht="37.5" hidden="false" customHeight="true" outlineLevel="0" collapsed="false">
      <c r="A20" s="11" t="s">
        <v>1297</v>
      </c>
      <c r="B20" s="11" t="s">
        <v>1291</v>
      </c>
      <c r="C20" s="24" t="s">
        <v>1298</v>
      </c>
      <c r="D20" s="11" t="s">
        <v>89</v>
      </c>
      <c r="E20" s="11" t="s">
        <v>1299</v>
      </c>
      <c r="F20" s="28" t="s">
        <v>105</v>
      </c>
      <c r="G20" s="21" t="s">
        <v>16</v>
      </c>
      <c r="H20" s="24" t="s">
        <v>1300</v>
      </c>
      <c r="I20" s="24" t="s">
        <v>1301</v>
      </c>
      <c r="J20" s="25"/>
      <c r="K20" s="12" t="n">
        <v>0</v>
      </c>
      <c r="L20" s="26" t="s">
        <v>1302</v>
      </c>
      <c r="M20" s="11" t="s">
        <v>1303</v>
      </c>
    </row>
    <row r="21" customFormat="false" ht="37.5" hidden="false" customHeight="true" outlineLevel="0" collapsed="false">
      <c r="A21" s="6" t="s">
        <v>1304</v>
      </c>
      <c r="B21" s="6" t="s">
        <v>1291</v>
      </c>
      <c r="C21" s="20" t="s">
        <v>1305</v>
      </c>
      <c r="D21" s="6" t="s">
        <v>89</v>
      </c>
      <c r="E21" s="6" t="s">
        <v>1299</v>
      </c>
      <c r="F21" s="27" t="s">
        <v>105</v>
      </c>
      <c r="G21" s="21" t="s">
        <v>16</v>
      </c>
      <c r="H21" s="20" t="s">
        <v>1306</v>
      </c>
      <c r="I21" s="20" t="s">
        <v>1307</v>
      </c>
      <c r="J21" s="22"/>
      <c r="K21" s="7" t="n">
        <v>0</v>
      </c>
      <c r="L21" s="23" t="s">
        <v>1308</v>
      </c>
      <c r="M21" s="6" t="s">
        <v>1309</v>
      </c>
    </row>
    <row r="22" customFormat="false" ht="37.5" hidden="false" customHeight="true" outlineLevel="0" collapsed="false">
      <c r="A22" s="11" t="s">
        <v>1310</v>
      </c>
      <c r="B22" s="11" t="s">
        <v>1291</v>
      </c>
      <c r="C22" s="24" t="s">
        <v>1311</v>
      </c>
      <c r="D22" s="11" t="s">
        <v>89</v>
      </c>
      <c r="E22" s="11" t="s">
        <v>1158</v>
      </c>
      <c r="F22" s="28" t="s">
        <v>105</v>
      </c>
      <c r="G22" s="21" t="s">
        <v>16</v>
      </c>
      <c r="H22" s="24" t="s">
        <v>1312</v>
      </c>
      <c r="I22" s="24" t="s">
        <v>1313</v>
      </c>
      <c r="J22" s="25"/>
      <c r="K22" s="12" t="n">
        <v>0</v>
      </c>
      <c r="L22" s="26" t="s">
        <v>1314</v>
      </c>
      <c r="M22" s="11" t="s">
        <v>1315</v>
      </c>
    </row>
    <row r="23" customFormat="false" ht="37.5" hidden="false" customHeight="true" outlineLevel="0" collapsed="false">
      <c r="A23" s="6" t="s">
        <v>1316</v>
      </c>
      <c r="B23" s="6" t="s">
        <v>1291</v>
      </c>
      <c r="C23" s="20" t="s">
        <v>1317</v>
      </c>
      <c r="D23" s="6" t="s">
        <v>89</v>
      </c>
      <c r="E23" s="6" t="s">
        <v>1318</v>
      </c>
      <c r="F23" s="27" t="s">
        <v>105</v>
      </c>
      <c r="G23" s="21" t="s">
        <v>16</v>
      </c>
      <c r="H23" s="20" t="s">
        <v>1319</v>
      </c>
      <c r="I23" s="20" t="s">
        <v>1320</v>
      </c>
      <c r="J23" s="22"/>
      <c r="K23" s="7" t="n">
        <v>0</v>
      </c>
      <c r="L23" s="23" t="s">
        <v>1321</v>
      </c>
      <c r="M23" s="6" t="s">
        <v>1322</v>
      </c>
    </row>
    <row r="25" customFormat="false" ht="21.75" hidden="false" customHeight="true" outlineLevel="0" collapsed="false">
      <c r="A25" s="19" t="s">
        <v>1323</v>
      </c>
      <c r="B25" s="19"/>
      <c r="C25" s="19"/>
      <c r="D25" s="19"/>
      <c r="E25" s="19"/>
      <c r="F25" s="19"/>
      <c r="G25" s="19"/>
      <c r="H25" s="19"/>
      <c r="I25" s="19"/>
      <c r="J25" s="19"/>
      <c r="K25" s="19"/>
      <c r="L25" s="19"/>
      <c r="M25" s="19"/>
    </row>
    <row r="26" customFormat="false" ht="37.5" hidden="false" customHeight="true" outlineLevel="0" collapsed="false">
      <c r="A26" s="6" t="s">
        <v>1324</v>
      </c>
      <c r="B26" s="6" t="s">
        <v>1325</v>
      </c>
      <c r="C26" s="20" t="s">
        <v>1326</v>
      </c>
      <c r="D26" s="6" t="s">
        <v>89</v>
      </c>
      <c r="E26" s="6" t="s">
        <v>1212</v>
      </c>
      <c r="F26" s="6" t="s">
        <v>125</v>
      </c>
      <c r="G26" s="21" t="s">
        <v>16</v>
      </c>
      <c r="H26" s="20" t="s">
        <v>1327</v>
      </c>
      <c r="I26" s="20" t="s">
        <v>1328</v>
      </c>
      <c r="J26" s="22"/>
      <c r="K26" s="7" t="n">
        <v>0</v>
      </c>
      <c r="L26" s="23" t="s">
        <v>1329</v>
      </c>
      <c r="M26" s="6" t="s">
        <v>1330</v>
      </c>
    </row>
    <row r="27" customFormat="false" ht="37.5" hidden="false" customHeight="true" outlineLevel="0" collapsed="false">
      <c r="A27" s="11" t="s">
        <v>1331</v>
      </c>
      <c r="B27" s="11" t="s">
        <v>1325</v>
      </c>
      <c r="C27" s="24" t="s">
        <v>1332</v>
      </c>
      <c r="D27" s="11" t="s">
        <v>89</v>
      </c>
      <c r="E27" s="11" t="s">
        <v>1333</v>
      </c>
      <c r="F27" s="11" t="s">
        <v>125</v>
      </c>
      <c r="G27" s="21" t="s">
        <v>16</v>
      </c>
      <c r="H27" s="24" t="s">
        <v>1334</v>
      </c>
      <c r="I27" s="24" t="s">
        <v>1335</v>
      </c>
      <c r="J27" s="25"/>
      <c r="K27" s="12" t="n">
        <v>0</v>
      </c>
      <c r="L27" s="26" t="s">
        <v>1336</v>
      </c>
      <c r="M27" s="11" t="s">
        <v>1337</v>
      </c>
    </row>
    <row r="28" customFormat="false" ht="37.5" hidden="false" customHeight="true" outlineLevel="0" collapsed="false">
      <c r="A28" s="6" t="s">
        <v>1338</v>
      </c>
      <c r="B28" s="6" t="s">
        <v>1325</v>
      </c>
      <c r="C28" s="20" t="s">
        <v>1339</v>
      </c>
      <c r="D28" s="6" t="s">
        <v>89</v>
      </c>
      <c r="E28" s="6" t="s">
        <v>1340</v>
      </c>
      <c r="F28" s="6" t="s">
        <v>125</v>
      </c>
      <c r="G28" s="21" t="s">
        <v>16</v>
      </c>
      <c r="H28" s="20" t="s">
        <v>1341</v>
      </c>
      <c r="I28" s="20" t="s">
        <v>1342</v>
      </c>
      <c r="J28" s="22"/>
      <c r="K28" s="7" t="n">
        <v>0</v>
      </c>
      <c r="L28" s="23" t="s">
        <v>1343</v>
      </c>
      <c r="M28" s="6" t="s">
        <v>1344</v>
      </c>
    </row>
    <row r="29" customFormat="false" ht="37.5" hidden="false" customHeight="true" outlineLevel="0" collapsed="false">
      <c r="A29" s="11" t="s">
        <v>1345</v>
      </c>
      <c r="B29" s="11" t="s">
        <v>1325</v>
      </c>
      <c r="C29" s="24" t="s">
        <v>1346</v>
      </c>
      <c r="D29" s="11" t="s">
        <v>89</v>
      </c>
      <c r="E29" s="11" t="s">
        <v>1347</v>
      </c>
      <c r="F29" s="11" t="s">
        <v>125</v>
      </c>
      <c r="G29" s="21" t="s">
        <v>16</v>
      </c>
      <c r="H29" s="24" t="s">
        <v>1348</v>
      </c>
      <c r="I29" s="24" t="s">
        <v>1349</v>
      </c>
      <c r="J29" s="25"/>
      <c r="K29" s="12" t="n">
        <v>0</v>
      </c>
      <c r="L29" s="26" t="s">
        <v>1350</v>
      </c>
      <c r="M29" s="11" t="s">
        <v>1351</v>
      </c>
    </row>
    <row r="30" customFormat="false" ht="37.5" hidden="false" customHeight="true" outlineLevel="0" collapsed="false">
      <c r="A30" s="6" t="s">
        <v>1352</v>
      </c>
      <c r="B30" s="6" t="s">
        <v>1325</v>
      </c>
      <c r="C30" s="20" t="s">
        <v>1353</v>
      </c>
      <c r="D30" s="6" t="s">
        <v>89</v>
      </c>
      <c r="E30" s="6" t="s">
        <v>1354</v>
      </c>
      <c r="F30" s="27" t="s">
        <v>105</v>
      </c>
      <c r="G30" s="21" t="s">
        <v>16</v>
      </c>
      <c r="H30" s="20" t="s">
        <v>1355</v>
      </c>
      <c r="I30" s="20" t="s">
        <v>1356</v>
      </c>
      <c r="J30" s="22"/>
      <c r="K30" s="7" t="n">
        <v>0</v>
      </c>
      <c r="L30" s="23" t="s">
        <v>1357</v>
      </c>
      <c r="M30" s="6" t="s">
        <v>294</v>
      </c>
    </row>
    <row r="32" customFormat="false" ht="21.75" hidden="false" customHeight="true" outlineLevel="0" collapsed="false">
      <c r="A32" s="19" t="s">
        <v>1358</v>
      </c>
      <c r="B32" s="19"/>
      <c r="C32" s="19"/>
      <c r="D32" s="19"/>
      <c r="E32" s="19"/>
      <c r="F32" s="19"/>
      <c r="G32" s="19"/>
      <c r="H32" s="19"/>
      <c r="I32" s="19"/>
      <c r="J32" s="19"/>
      <c r="K32" s="19"/>
      <c r="L32" s="19"/>
      <c r="M32" s="19"/>
    </row>
    <row r="33" customFormat="false" ht="37.5" hidden="false" customHeight="true" outlineLevel="0" collapsed="false">
      <c r="A33" s="6" t="s">
        <v>1359</v>
      </c>
      <c r="B33" s="6" t="s">
        <v>1360</v>
      </c>
      <c r="C33" s="20" t="s">
        <v>1361</v>
      </c>
      <c r="D33" s="6" t="s">
        <v>89</v>
      </c>
      <c r="E33" s="6" t="s">
        <v>1212</v>
      </c>
      <c r="F33" s="27" t="s">
        <v>105</v>
      </c>
      <c r="G33" s="21" t="s">
        <v>16</v>
      </c>
      <c r="H33" s="20" t="s">
        <v>1362</v>
      </c>
      <c r="I33" s="20" t="s">
        <v>1363</v>
      </c>
      <c r="J33" s="22"/>
      <c r="K33" s="7" t="n">
        <v>0</v>
      </c>
      <c r="L33" s="23" t="s">
        <v>1364</v>
      </c>
      <c r="M33" s="6" t="s">
        <v>1365</v>
      </c>
    </row>
    <row r="34" customFormat="false" ht="37.5" hidden="false" customHeight="true" outlineLevel="0" collapsed="false">
      <c r="A34" s="11" t="s">
        <v>1366</v>
      </c>
      <c r="B34" s="11" t="s">
        <v>1360</v>
      </c>
      <c r="C34" s="24" t="s">
        <v>1367</v>
      </c>
      <c r="D34" s="11" t="s">
        <v>89</v>
      </c>
      <c r="E34" s="11" t="s">
        <v>1158</v>
      </c>
      <c r="F34" s="11" t="s">
        <v>125</v>
      </c>
      <c r="G34" s="21" t="s">
        <v>16</v>
      </c>
      <c r="H34" s="24" t="s">
        <v>1368</v>
      </c>
      <c r="I34" s="24" t="s">
        <v>1369</v>
      </c>
      <c r="J34" s="25"/>
      <c r="K34" s="12" t="n">
        <v>0</v>
      </c>
      <c r="L34" s="26" t="s">
        <v>1370</v>
      </c>
      <c r="M34" s="11" t="s">
        <v>1371</v>
      </c>
    </row>
    <row r="35" customFormat="false" ht="37.5" hidden="false" customHeight="true" outlineLevel="0" collapsed="false">
      <c r="A35" s="6" t="s">
        <v>1372</v>
      </c>
      <c r="B35" s="6" t="s">
        <v>1360</v>
      </c>
      <c r="C35" s="20" t="s">
        <v>1373</v>
      </c>
      <c r="D35" s="6" t="s">
        <v>89</v>
      </c>
      <c r="E35" s="6" t="s">
        <v>1347</v>
      </c>
      <c r="F35" s="27" t="s">
        <v>105</v>
      </c>
      <c r="G35" s="21" t="s">
        <v>16</v>
      </c>
      <c r="H35" s="20" t="s">
        <v>1374</v>
      </c>
      <c r="I35" s="20" t="s">
        <v>1375</v>
      </c>
      <c r="J35" s="22"/>
      <c r="K35" s="7" t="n">
        <v>0</v>
      </c>
      <c r="L35" s="23" t="s">
        <v>1376</v>
      </c>
      <c r="M35" s="6" t="s">
        <v>1377</v>
      </c>
    </row>
    <row r="36" customFormat="false" ht="37.5" hidden="false" customHeight="true" outlineLevel="0" collapsed="false">
      <c r="A36" s="11" t="s">
        <v>1378</v>
      </c>
      <c r="B36" s="11" t="s">
        <v>1360</v>
      </c>
      <c r="C36" s="24" t="s">
        <v>1379</v>
      </c>
      <c r="D36" s="11" t="s">
        <v>89</v>
      </c>
      <c r="E36" s="11" t="s">
        <v>1380</v>
      </c>
      <c r="F36" s="28" t="s">
        <v>105</v>
      </c>
      <c r="G36" s="21" t="s">
        <v>16</v>
      </c>
      <c r="H36" s="24" t="s">
        <v>1381</v>
      </c>
      <c r="I36" s="24" t="s">
        <v>1382</v>
      </c>
      <c r="J36" s="25"/>
      <c r="K36" s="12" t="n">
        <v>0</v>
      </c>
      <c r="L36" s="26" t="s">
        <v>1383</v>
      </c>
      <c r="M36" s="11" t="s">
        <v>1384</v>
      </c>
    </row>
    <row r="37" customFormat="false" ht="37.5" hidden="false" customHeight="true" outlineLevel="0" collapsed="false">
      <c r="A37" s="6" t="s">
        <v>1385</v>
      </c>
      <c r="B37" s="6" t="s">
        <v>1360</v>
      </c>
      <c r="C37" s="20" t="s">
        <v>1386</v>
      </c>
      <c r="D37" s="6" t="s">
        <v>89</v>
      </c>
      <c r="E37" s="6" t="s">
        <v>1354</v>
      </c>
      <c r="F37" s="27" t="s">
        <v>105</v>
      </c>
      <c r="G37" s="21" t="s">
        <v>16</v>
      </c>
      <c r="H37" s="20" t="s">
        <v>1387</v>
      </c>
      <c r="I37" s="20" t="s">
        <v>1388</v>
      </c>
      <c r="J37" s="22"/>
      <c r="K37" s="7" t="n">
        <v>0</v>
      </c>
      <c r="L37" s="23" t="s">
        <v>1389</v>
      </c>
      <c r="M37" s="6" t="s">
        <v>1390</v>
      </c>
    </row>
  </sheetData>
  <mergeCells count="7">
    <mergeCell ref="A1:M1"/>
    <mergeCell ref="A2:M2"/>
    <mergeCell ref="A4:M4"/>
    <mergeCell ref="A11:M11"/>
    <mergeCell ref="A18:M18"/>
    <mergeCell ref="A25:M25"/>
    <mergeCell ref="A32:M3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E5090"/>
    <pageSetUpPr fitToPage="false"/>
  </sheetPr>
  <dimension ref="A1:M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0"/>
    <col collapsed="false" customWidth="true" hidden="false" outlineLevel="0" max="3" min="3" style="0" width="55"/>
    <col collapsed="false" customWidth="true" hidden="false" outlineLevel="0" max="5" min="4" style="0" width="12"/>
    <col collapsed="false" customWidth="true" hidden="false" outlineLevel="0" max="6" min="6" style="0" width="10"/>
    <col collapsed="false" customWidth="true" hidden="false" outlineLevel="0" max="7" min="7" style="0" width="14"/>
    <col collapsed="false" customWidth="true" hidden="false" outlineLevel="0" max="8" min="8" style="0" width="28"/>
    <col collapsed="false" customWidth="true" hidden="false" outlineLevel="0" max="9" min="9" style="0" width="22"/>
    <col collapsed="false" customWidth="true" hidden="false" outlineLevel="0" max="10" min="10" style="0" width="18"/>
    <col collapsed="false" customWidth="true" hidden="false" outlineLevel="0" max="11" min="11" style="0" width="10"/>
    <col collapsed="false" customWidth="true" hidden="false" outlineLevel="0" max="12" min="12" style="0" width="50"/>
    <col collapsed="false" customWidth="true" hidden="false" outlineLevel="0" max="13" min="13" style="0" width="14"/>
  </cols>
  <sheetData>
    <row r="1" customFormat="false" ht="27.75" hidden="false" customHeight="true" outlineLevel="0" collapsed="false">
      <c r="A1" s="17" t="s">
        <v>1391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</row>
    <row r="2" customFormat="false" ht="21.75" hidden="false" customHeight="true" outlineLevel="0" collapsed="false">
      <c r="A2" s="18" t="s">
        <v>72</v>
      </c>
      <c r="B2" s="18"/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</row>
    <row r="3" customFormat="false" ht="24" hidden="false" customHeight="true" outlineLevel="0" collapsed="false">
      <c r="A3" s="3" t="s">
        <v>73</v>
      </c>
      <c r="B3" s="3" t="s">
        <v>74</v>
      </c>
      <c r="C3" s="3" t="s">
        <v>75</v>
      </c>
      <c r="D3" s="3" t="s">
        <v>76</v>
      </c>
      <c r="E3" s="3" t="s">
        <v>77</v>
      </c>
      <c r="F3" s="3" t="s">
        <v>78</v>
      </c>
      <c r="G3" s="3" t="s">
        <v>9</v>
      </c>
      <c r="H3" s="3" t="s">
        <v>79</v>
      </c>
      <c r="I3" s="3" t="s">
        <v>80</v>
      </c>
      <c r="J3" s="3" t="s">
        <v>81</v>
      </c>
      <c r="K3" s="3" t="s">
        <v>82</v>
      </c>
      <c r="L3" s="3" t="s">
        <v>83</v>
      </c>
      <c r="M3" s="3" t="s">
        <v>84</v>
      </c>
    </row>
    <row r="4" customFormat="false" ht="21.75" hidden="false" customHeight="true" outlineLevel="0" collapsed="false">
      <c r="A4" s="19" t="s">
        <v>1392</v>
      </c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</row>
    <row r="5" customFormat="false" ht="37.5" hidden="false" customHeight="true" outlineLevel="0" collapsed="false">
      <c r="A5" s="6" t="s">
        <v>1393</v>
      </c>
      <c r="B5" s="6" t="s">
        <v>1394</v>
      </c>
      <c r="C5" s="20" t="s">
        <v>1395</v>
      </c>
      <c r="D5" s="6" t="s">
        <v>89</v>
      </c>
      <c r="E5" s="6" t="s">
        <v>104</v>
      </c>
      <c r="F5" s="8" t="s">
        <v>91</v>
      </c>
      <c r="G5" s="21" t="s">
        <v>16</v>
      </c>
      <c r="H5" s="20" t="s">
        <v>1396</v>
      </c>
      <c r="I5" s="20" t="s">
        <v>1397</v>
      </c>
      <c r="J5" s="22"/>
      <c r="K5" s="7" t="n">
        <v>0</v>
      </c>
      <c r="L5" s="23" t="s">
        <v>1398</v>
      </c>
      <c r="M5" s="6" t="s">
        <v>1399</v>
      </c>
    </row>
    <row r="6" customFormat="false" ht="37.5" hidden="false" customHeight="true" outlineLevel="0" collapsed="false">
      <c r="A6" s="11" t="s">
        <v>1400</v>
      </c>
      <c r="B6" s="11" t="s">
        <v>1394</v>
      </c>
      <c r="C6" s="24" t="s">
        <v>1401</v>
      </c>
      <c r="D6" s="11" t="s">
        <v>89</v>
      </c>
      <c r="E6" s="11" t="s">
        <v>165</v>
      </c>
      <c r="F6" s="13" t="s">
        <v>91</v>
      </c>
      <c r="G6" s="21" t="s">
        <v>16</v>
      </c>
      <c r="H6" s="24" t="s">
        <v>1402</v>
      </c>
      <c r="I6" s="24" t="s">
        <v>1403</v>
      </c>
      <c r="J6" s="25"/>
      <c r="K6" s="12" t="n">
        <v>0</v>
      </c>
      <c r="L6" s="26" t="s">
        <v>1404</v>
      </c>
      <c r="M6" s="11" t="s">
        <v>1405</v>
      </c>
    </row>
    <row r="7" customFormat="false" ht="37.5" hidden="false" customHeight="true" outlineLevel="0" collapsed="false">
      <c r="A7" s="6" t="s">
        <v>1406</v>
      </c>
      <c r="B7" s="6" t="s">
        <v>1394</v>
      </c>
      <c r="C7" s="20" t="s">
        <v>1407</v>
      </c>
      <c r="D7" s="6" t="s">
        <v>89</v>
      </c>
      <c r="E7" s="6" t="s">
        <v>184</v>
      </c>
      <c r="F7" s="27" t="s">
        <v>105</v>
      </c>
      <c r="G7" s="21" t="s">
        <v>16</v>
      </c>
      <c r="H7" s="20" t="s">
        <v>1408</v>
      </c>
      <c r="I7" s="20" t="s">
        <v>1409</v>
      </c>
      <c r="J7" s="22"/>
      <c r="K7" s="7" t="n">
        <v>0</v>
      </c>
      <c r="L7" s="23" t="s">
        <v>1410</v>
      </c>
      <c r="M7" s="6" t="s">
        <v>1411</v>
      </c>
    </row>
    <row r="8" customFormat="false" ht="37.5" hidden="false" customHeight="true" outlineLevel="0" collapsed="false">
      <c r="A8" s="11" t="s">
        <v>1412</v>
      </c>
      <c r="B8" s="11" t="s">
        <v>1394</v>
      </c>
      <c r="C8" s="24" t="s">
        <v>1413</v>
      </c>
      <c r="D8" s="11" t="s">
        <v>89</v>
      </c>
      <c r="E8" s="11" t="s">
        <v>184</v>
      </c>
      <c r="F8" s="11" t="s">
        <v>125</v>
      </c>
      <c r="G8" s="21" t="s">
        <v>16</v>
      </c>
      <c r="H8" s="24" t="s">
        <v>1414</v>
      </c>
      <c r="I8" s="24" t="s">
        <v>1415</v>
      </c>
      <c r="J8" s="25"/>
      <c r="K8" s="12" t="n">
        <v>0</v>
      </c>
      <c r="L8" s="26" t="s">
        <v>1416</v>
      </c>
      <c r="M8" s="11" t="s">
        <v>1417</v>
      </c>
    </row>
    <row r="9" customFormat="false" ht="37.5" hidden="false" customHeight="true" outlineLevel="0" collapsed="false">
      <c r="A9" s="6" t="s">
        <v>1418</v>
      </c>
      <c r="B9" s="6" t="s">
        <v>1394</v>
      </c>
      <c r="C9" s="20" t="s">
        <v>1419</v>
      </c>
      <c r="D9" s="6" t="s">
        <v>89</v>
      </c>
      <c r="E9" s="6" t="s">
        <v>211</v>
      </c>
      <c r="F9" s="27" t="s">
        <v>105</v>
      </c>
      <c r="G9" s="21" t="s">
        <v>16</v>
      </c>
      <c r="H9" s="20" t="s">
        <v>1420</v>
      </c>
      <c r="I9" s="20" t="s">
        <v>1421</v>
      </c>
      <c r="J9" s="22"/>
      <c r="K9" s="7" t="n">
        <v>0</v>
      </c>
      <c r="L9" s="23" t="s">
        <v>1422</v>
      </c>
      <c r="M9" s="6" t="s">
        <v>1423</v>
      </c>
    </row>
    <row r="11" customFormat="false" ht="21.75" hidden="false" customHeight="true" outlineLevel="0" collapsed="false">
      <c r="A11" s="19" t="s">
        <v>1424</v>
      </c>
      <c r="B11" s="19"/>
      <c r="C11" s="19"/>
      <c r="D11" s="19"/>
      <c r="E11" s="19"/>
      <c r="F11" s="19"/>
      <c r="G11" s="19"/>
      <c r="H11" s="19"/>
      <c r="I11" s="19"/>
      <c r="J11" s="19"/>
      <c r="K11" s="19"/>
      <c r="L11" s="19"/>
      <c r="M11" s="19"/>
    </row>
    <row r="12" customFormat="false" ht="37.5" hidden="false" customHeight="true" outlineLevel="0" collapsed="false">
      <c r="A12" s="6" t="s">
        <v>1425</v>
      </c>
      <c r="B12" s="6" t="s">
        <v>1426</v>
      </c>
      <c r="C12" s="20" t="s">
        <v>1427</v>
      </c>
      <c r="D12" s="6" t="s">
        <v>89</v>
      </c>
      <c r="E12" s="6" t="s">
        <v>165</v>
      </c>
      <c r="F12" s="8" t="s">
        <v>91</v>
      </c>
      <c r="G12" s="21" t="s">
        <v>16</v>
      </c>
      <c r="H12" s="20" t="s">
        <v>273</v>
      </c>
      <c r="I12" s="20" t="s">
        <v>274</v>
      </c>
      <c r="J12" s="22"/>
      <c r="K12" s="7" t="n">
        <v>0</v>
      </c>
      <c r="L12" s="23" t="s">
        <v>1428</v>
      </c>
      <c r="M12" s="6" t="s">
        <v>1429</v>
      </c>
    </row>
    <row r="13" customFormat="false" ht="37.5" hidden="false" customHeight="true" outlineLevel="0" collapsed="false">
      <c r="A13" s="11" t="s">
        <v>1430</v>
      </c>
      <c r="B13" s="11" t="s">
        <v>1426</v>
      </c>
      <c r="C13" s="24" t="s">
        <v>1431</v>
      </c>
      <c r="D13" s="11" t="s">
        <v>89</v>
      </c>
      <c r="E13" s="11" t="s">
        <v>211</v>
      </c>
      <c r="F13" s="28" t="s">
        <v>105</v>
      </c>
      <c r="G13" s="21" t="s">
        <v>16</v>
      </c>
      <c r="H13" s="24" t="s">
        <v>279</v>
      </c>
      <c r="I13" s="24" t="s">
        <v>1432</v>
      </c>
      <c r="J13" s="25"/>
      <c r="K13" s="12" t="n">
        <v>0</v>
      </c>
      <c r="L13" s="26" t="s">
        <v>1433</v>
      </c>
      <c r="M13" s="11" t="s">
        <v>282</v>
      </c>
    </row>
    <row r="14" customFormat="false" ht="37.5" hidden="false" customHeight="true" outlineLevel="0" collapsed="false">
      <c r="A14" s="6" t="s">
        <v>1434</v>
      </c>
      <c r="B14" s="6" t="s">
        <v>1426</v>
      </c>
      <c r="C14" s="20" t="s">
        <v>1435</v>
      </c>
      <c r="D14" s="6" t="s">
        <v>89</v>
      </c>
      <c r="E14" s="6" t="s">
        <v>218</v>
      </c>
      <c r="F14" s="27" t="s">
        <v>105</v>
      </c>
      <c r="G14" s="21" t="s">
        <v>16</v>
      </c>
      <c r="H14" s="20" t="s">
        <v>291</v>
      </c>
      <c r="I14" s="20" t="s">
        <v>1436</v>
      </c>
      <c r="J14" s="22"/>
      <c r="K14" s="7" t="n">
        <v>0</v>
      </c>
      <c r="L14" s="23" t="s">
        <v>1437</v>
      </c>
      <c r="M14" s="6" t="s">
        <v>294</v>
      </c>
    </row>
    <row r="15" customFormat="false" ht="37.5" hidden="false" customHeight="true" outlineLevel="0" collapsed="false">
      <c r="A15" s="11" t="s">
        <v>1438</v>
      </c>
      <c r="B15" s="11" t="s">
        <v>1426</v>
      </c>
      <c r="C15" s="24" t="s">
        <v>1439</v>
      </c>
      <c r="D15" s="11" t="s">
        <v>89</v>
      </c>
      <c r="E15" s="11" t="s">
        <v>258</v>
      </c>
      <c r="F15" s="11" t="s">
        <v>125</v>
      </c>
      <c r="G15" s="21" t="s">
        <v>16</v>
      </c>
      <c r="H15" s="24" t="s">
        <v>1440</v>
      </c>
      <c r="I15" s="24" t="s">
        <v>1441</v>
      </c>
      <c r="J15" s="25"/>
      <c r="K15" s="12" t="n">
        <v>0</v>
      </c>
      <c r="L15" s="26" t="s">
        <v>1442</v>
      </c>
      <c r="M15" s="11" t="s">
        <v>1443</v>
      </c>
    </row>
    <row r="16" customFormat="false" ht="37.5" hidden="false" customHeight="true" outlineLevel="0" collapsed="false">
      <c r="A16" s="6" t="s">
        <v>1444</v>
      </c>
      <c r="B16" s="6" t="s">
        <v>1426</v>
      </c>
      <c r="C16" s="20" t="s">
        <v>1445</v>
      </c>
      <c r="D16" s="6" t="s">
        <v>89</v>
      </c>
      <c r="E16" s="6" t="s">
        <v>323</v>
      </c>
      <c r="F16" s="6" t="s">
        <v>125</v>
      </c>
      <c r="G16" s="21" t="s">
        <v>16</v>
      </c>
      <c r="H16" s="20" t="s">
        <v>1446</v>
      </c>
      <c r="I16" s="20" t="s">
        <v>1447</v>
      </c>
      <c r="J16" s="22"/>
      <c r="K16" s="7" t="n">
        <v>0</v>
      </c>
      <c r="L16" s="23" t="s">
        <v>1448</v>
      </c>
      <c r="M16" s="6" t="s">
        <v>1449</v>
      </c>
    </row>
    <row r="18" customFormat="false" ht="21.75" hidden="false" customHeight="true" outlineLevel="0" collapsed="false">
      <c r="A18" s="19" t="s">
        <v>1450</v>
      </c>
      <c r="B18" s="19"/>
      <c r="C18" s="19"/>
      <c r="D18" s="19"/>
      <c r="E18" s="19"/>
      <c r="F18" s="19"/>
      <c r="G18" s="19"/>
      <c r="H18" s="19"/>
      <c r="I18" s="19"/>
      <c r="J18" s="19"/>
      <c r="K18" s="19"/>
      <c r="L18" s="19"/>
      <c r="M18" s="19"/>
    </row>
    <row r="19" customFormat="false" ht="37.5" hidden="false" customHeight="true" outlineLevel="0" collapsed="false">
      <c r="A19" s="6" t="s">
        <v>1451</v>
      </c>
      <c r="B19" s="6" t="s">
        <v>1452</v>
      </c>
      <c r="C19" s="20" t="s">
        <v>1453</v>
      </c>
      <c r="D19" s="6" t="s">
        <v>89</v>
      </c>
      <c r="E19" s="6" t="s">
        <v>251</v>
      </c>
      <c r="F19" s="27" t="s">
        <v>105</v>
      </c>
      <c r="G19" s="21" t="s">
        <v>16</v>
      </c>
      <c r="H19" s="20" t="s">
        <v>1454</v>
      </c>
      <c r="I19" s="20" t="s">
        <v>1455</v>
      </c>
      <c r="J19" s="22"/>
      <c r="K19" s="7" t="n">
        <v>0</v>
      </c>
      <c r="L19" s="23" t="s">
        <v>1456</v>
      </c>
      <c r="M19" s="6" t="s">
        <v>1457</v>
      </c>
    </row>
    <row r="20" customFormat="false" ht="37.5" hidden="false" customHeight="true" outlineLevel="0" collapsed="false">
      <c r="A20" s="11" t="s">
        <v>1458</v>
      </c>
      <c r="B20" s="11" t="s">
        <v>1452</v>
      </c>
      <c r="C20" s="24" t="s">
        <v>1459</v>
      </c>
      <c r="D20" s="11" t="s">
        <v>89</v>
      </c>
      <c r="E20" s="11" t="s">
        <v>323</v>
      </c>
      <c r="F20" s="28" t="s">
        <v>105</v>
      </c>
      <c r="G20" s="21" t="s">
        <v>16</v>
      </c>
      <c r="H20" s="24" t="s">
        <v>1460</v>
      </c>
      <c r="I20" s="24" t="s">
        <v>1461</v>
      </c>
      <c r="J20" s="25"/>
      <c r="K20" s="12" t="n">
        <v>0</v>
      </c>
      <c r="L20" s="26" t="s">
        <v>1462</v>
      </c>
      <c r="M20" s="11" t="s">
        <v>1463</v>
      </c>
    </row>
    <row r="21" customFormat="false" ht="37.5" hidden="false" customHeight="true" outlineLevel="0" collapsed="false">
      <c r="A21" s="6" t="s">
        <v>1464</v>
      </c>
      <c r="B21" s="6" t="s">
        <v>1452</v>
      </c>
      <c r="C21" s="20" t="s">
        <v>1465</v>
      </c>
      <c r="D21" s="6" t="s">
        <v>89</v>
      </c>
      <c r="E21" s="6" t="s">
        <v>434</v>
      </c>
      <c r="F21" s="6" t="s">
        <v>125</v>
      </c>
      <c r="G21" s="21" t="s">
        <v>16</v>
      </c>
      <c r="H21" s="20" t="s">
        <v>1466</v>
      </c>
      <c r="I21" s="20" t="s">
        <v>1467</v>
      </c>
      <c r="J21" s="22"/>
      <c r="K21" s="7" t="n">
        <v>0</v>
      </c>
      <c r="L21" s="23" t="s">
        <v>1468</v>
      </c>
      <c r="M21" s="6" t="s">
        <v>1469</v>
      </c>
    </row>
    <row r="22" customFormat="false" ht="37.5" hidden="false" customHeight="true" outlineLevel="0" collapsed="false">
      <c r="A22" s="11" t="s">
        <v>1470</v>
      </c>
      <c r="B22" s="11" t="s">
        <v>1452</v>
      </c>
      <c r="C22" s="24" t="s">
        <v>1471</v>
      </c>
      <c r="D22" s="11" t="s">
        <v>89</v>
      </c>
      <c r="E22" s="11" t="s">
        <v>506</v>
      </c>
      <c r="F22" s="11" t="s">
        <v>125</v>
      </c>
      <c r="G22" s="21" t="s">
        <v>16</v>
      </c>
      <c r="H22" s="24" t="s">
        <v>1472</v>
      </c>
      <c r="I22" s="24" t="s">
        <v>1473</v>
      </c>
      <c r="J22" s="25"/>
      <c r="K22" s="12" t="n">
        <v>0</v>
      </c>
      <c r="L22" s="26" t="s">
        <v>1474</v>
      </c>
      <c r="M22" s="11" t="s">
        <v>1475</v>
      </c>
    </row>
    <row r="24" customFormat="false" ht="21.75" hidden="false" customHeight="true" outlineLevel="0" collapsed="false">
      <c r="A24" s="19" t="s">
        <v>1476</v>
      </c>
      <c r="B24" s="19"/>
      <c r="C24" s="19"/>
      <c r="D24" s="19"/>
      <c r="E24" s="19"/>
      <c r="F24" s="19"/>
      <c r="G24" s="19"/>
      <c r="H24" s="19"/>
      <c r="I24" s="19"/>
      <c r="J24" s="19"/>
      <c r="K24" s="19"/>
      <c r="L24" s="19"/>
      <c r="M24" s="19"/>
    </row>
    <row r="25" customFormat="false" ht="37.5" hidden="false" customHeight="true" outlineLevel="0" collapsed="false">
      <c r="A25" s="6" t="s">
        <v>1477</v>
      </c>
      <c r="B25" s="6" t="s">
        <v>1478</v>
      </c>
      <c r="C25" s="20" t="s">
        <v>1479</v>
      </c>
      <c r="D25" s="6" t="s">
        <v>89</v>
      </c>
      <c r="E25" s="6" t="s">
        <v>616</v>
      </c>
      <c r="F25" s="27" t="s">
        <v>105</v>
      </c>
      <c r="G25" s="21" t="s">
        <v>16</v>
      </c>
      <c r="H25" s="20" t="s">
        <v>1480</v>
      </c>
      <c r="I25" s="20" t="s">
        <v>849</v>
      </c>
      <c r="J25" s="22"/>
      <c r="K25" s="7" t="n">
        <v>0</v>
      </c>
      <c r="L25" s="23" t="s">
        <v>1481</v>
      </c>
      <c r="M25" s="6" t="s">
        <v>836</v>
      </c>
    </row>
    <row r="26" customFormat="false" ht="37.5" hidden="false" customHeight="true" outlineLevel="0" collapsed="false">
      <c r="A26" s="11" t="s">
        <v>1482</v>
      </c>
      <c r="B26" s="11" t="s">
        <v>1478</v>
      </c>
      <c r="C26" s="24" t="s">
        <v>1483</v>
      </c>
      <c r="D26" s="11" t="s">
        <v>89</v>
      </c>
      <c r="E26" s="11" t="s">
        <v>1012</v>
      </c>
      <c r="F26" s="28" t="s">
        <v>105</v>
      </c>
      <c r="G26" s="21" t="s">
        <v>16</v>
      </c>
      <c r="H26" s="24" t="s">
        <v>1484</v>
      </c>
      <c r="I26" s="24" t="s">
        <v>1485</v>
      </c>
      <c r="J26" s="25"/>
      <c r="K26" s="12" t="n">
        <v>0</v>
      </c>
      <c r="L26" s="26" t="s">
        <v>1486</v>
      </c>
      <c r="M26" s="11" t="s">
        <v>1487</v>
      </c>
    </row>
    <row r="27" customFormat="false" ht="37.5" hidden="false" customHeight="true" outlineLevel="0" collapsed="false">
      <c r="A27" s="6" t="s">
        <v>1488</v>
      </c>
      <c r="B27" s="6" t="s">
        <v>1478</v>
      </c>
      <c r="C27" s="20" t="s">
        <v>1489</v>
      </c>
      <c r="D27" s="6" t="s">
        <v>89</v>
      </c>
      <c r="E27" s="6" t="s">
        <v>1490</v>
      </c>
      <c r="F27" s="6" t="s">
        <v>125</v>
      </c>
      <c r="G27" s="21" t="s">
        <v>16</v>
      </c>
      <c r="H27" s="20" t="s">
        <v>1491</v>
      </c>
      <c r="I27" s="20" t="s">
        <v>1492</v>
      </c>
      <c r="J27" s="22"/>
      <c r="K27" s="7" t="n">
        <v>0</v>
      </c>
      <c r="L27" s="23" t="s">
        <v>1493</v>
      </c>
      <c r="M27" s="6" t="s">
        <v>1494</v>
      </c>
    </row>
    <row r="28" customFormat="false" ht="37.5" hidden="false" customHeight="true" outlineLevel="0" collapsed="false">
      <c r="A28" s="11" t="s">
        <v>1495</v>
      </c>
      <c r="B28" s="11" t="s">
        <v>1478</v>
      </c>
      <c r="C28" s="24" t="s">
        <v>1496</v>
      </c>
      <c r="D28" s="11" t="s">
        <v>89</v>
      </c>
      <c r="E28" s="11" t="s">
        <v>1497</v>
      </c>
      <c r="F28" s="28" t="s">
        <v>105</v>
      </c>
      <c r="G28" s="21" t="s">
        <v>16</v>
      </c>
      <c r="H28" s="24" t="s">
        <v>1498</v>
      </c>
      <c r="I28" s="24" t="s">
        <v>1499</v>
      </c>
      <c r="J28" s="25"/>
      <c r="K28" s="12" t="n">
        <v>0</v>
      </c>
      <c r="L28" s="26" t="s">
        <v>1500</v>
      </c>
      <c r="M28" s="11" t="s">
        <v>1501</v>
      </c>
    </row>
  </sheetData>
  <mergeCells count="6">
    <mergeCell ref="A1:M1"/>
    <mergeCell ref="A2:M2"/>
    <mergeCell ref="A4:M4"/>
    <mergeCell ref="A11:M11"/>
    <mergeCell ref="A18:M18"/>
    <mergeCell ref="A24:M2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E5090"/>
    <pageSetUpPr fitToPage="false"/>
  </sheetPr>
  <dimension ref="A1:M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0"/>
    <col collapsed="false" customWidth="true" hidden="false" outlineLevel="0" max="3" min="3" style="0" width="55"/>
    <col collapsed="false" customWidth="true" hidden="false" outlineLevel="0" max="5" min="4" style="0" width="12"/>
    <col collapsed="false" customWidth="true" hidden="false" outlineLevel="0" max="6" min="6" style="0" width="10"/>
    <col collapsed="false" customWidth="true" hidden="false" outlineLevel="0" max="7" min="7" style="0" width="14"/>
    <col collapsed="false" customWidth="true" hidden="false" outlineLevel="0" max="8" min="8" style="0" width="28"/>
    <col collapsed="false" customWidth="true" hidden="false" outlineLevel="0" max="9" min="9" style="0" width="22"/>
    <col collapsed="false" customWidth="true" hidden="false" outlineLevel="0" max="10" min="10" style="0" width="18"/>
    <col collapsed="false" customWidth="true" hidden="false" outlineLevel="0" max="11" min="11" style="0" width="10"/>
    <col collapsed="false" customWidth="true" hidden="false" outlineLevel="0" max="12" min="12" style="0" width="50"/>
    <col collapsed="false" customWidth="true" hidden="false" outlineLevel="0" max="13" min="13" style="0" width="14"/>
  </cols>
  <sheetData>
    <row r="1" customFormat="false" ht="27.75" hidden="false" customHeight="true" outlineLevel="0" collapsed="false">
      <c r="A1" s="17" t="s">
        <v>1502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</row>
    <row r="2" customFormat="false" ht="21.75" hidden="false" customHeight="true" outlineLevel="0" collapsed="false">
      <c r="A2" s="18" t="s">
        <v>72</v>
      </c>
      <c r="B2" s="18"/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</row>
    <row r="3" customFormat="false" ht="24" hidden="false" customHeight="true" outlineLevel="0" collapsed="false">
      <c r="A3" s="3" t="s">
        <v>73</v>
      </c>
      <c r="B3" s="3" t="s">
        <v>74</v>
      </c>
      <c r="C3" s="3" t="s">
        <v>75</v>
      </c>
      <c r="D3" s="3" t="s">
        <v>76</v>
      </c>
      <c r="E3" s="3" t="s">
        <v>77</v>
      </c>
      <c r="F3" s="3" t="s">
        <v>78</v>
      </c>
      <c r="G3" s="3" t="s">
        <v>9</v>
      </c>
      <c r="H3" s="3" t="s">
        <v>79</v>
      </c>
      <c r="I3" s="3" t="s">
        <v>80</v>
      </c>
      <c r="J3" s="3" t="s">
        <v>81</v>
      </c>
      <c r="K3" s="3" t="s">
        <v>82</v>
      </c>
      <c r="L3" s="3" t="s">
        <v>83</v>
      </c>
      <c r="M3" s="3" t="s">
        <v>84</v>
      </c>
    </row>
    <row r="4" customFormat="false" ht="21.75" hidden="false" customHeight="true" outlineLevel="0" collapsed="false">
      <c r="A4" s="19" t="s">
        <v>1503</v>
      </c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</row>
    <row r="5" customFormat="false" ht="37.5" hidden="false" customHeight="true" outlineLevel="0" collapsed="false">
      <c r="A5" s="6" t="s">
        <v>1504</v>
      </c>
      <c r="B5" s="6" t="s">
        <v>1505</v>
      </c>
      <c r="C5" s="20" t="s">
        <v>1506</v>
      </c>
      <c r="D5" s="6" t="s">
        <v>89</v>
      </c>
      <c r="E5" s="6" t="s">
        <v>90</v>
      </c>
      <c r="F5" s="8" t="s">
        <v>91</v>
      </c>
      <c r="G5" s="21" t="s">
        <v>16</v>
      </c>
      <c r="H5" s="20" t="s">
        <v>1507</v>
      </c>
      <c r="I5" s="20" t="s">
        <v>1508</v>
      </c>
      <c r="J5" s="22"/>
      <c r="K5" s="7" t="n">
        <v>0</v>
      </c>
      <c r="L5" s="23" t="s">
        <v>1509</v>
      </c>
      <c r="M5" s="6" t="s">
        <v>1510</v>
      </c>
    </row>
    <row r="6" customFormat="false" ht="37.5" hidden="false" customHeight="true" outlineLevel="0" collapsed="false">
      <c r="A6" s="11" t="s">
        <v>1511</v>
      </c>
      <c r="B6" s="11" t="s">
        <v>1505</v>
      </c>
      <c r="C6" s="24" t="s">
        <v>1512</v>
      </c>
      <c r="D6" s="11" t="s">
        <v>89</v>
      </c>
      <c r="E6" s="11" t="s">
        <v>152</v>
      </c>
      <c r="F6" s="13" t="s">
        <v>91</v>
      </c>
      <c r="G6" s="21" t="s">
        <v>16</v>
      </c>
      <c r="H6" s="24" t="s">
        <v>1513</v>
      </c>
      <c r="I6" s="24" t="s">
        <v>1514</v>
      </c>
      <c r="J6" s="25"/>
      <c r="K6" s="12" t="n">
        <v>0</v>
      </c>
      <c r="L6" s="26" t="s">
        <v>1515</v>
      </c>
      <c r="M6" s="11" t="s">
        <v>1516</v>
      </c>
    </row>
    <row r="7" customFormat="false" ht="37.5" hidden="false" customHeight="true" outlineLevel="0" collapsed="false">
      <c r="A7" s="6" t="s">
        <v>1517</v>
      </c>
      <c r="B7" s="6" t="s">
        <v>1505</v>
      </c>
      <c r="C7" s="20" t="s">
        <v>1518</v>
      </c>
      <c r="D7" s="6" t="s">
        <v>89</v>
      </c>
      <c r="E7" s="6" t="s">
        <v>211</v>
      </c>
      <c r="F7" s="27" t="s">
        <v>105</v>
      </c>
      <c r="G7" s="21" t="s">
        <v>16</v>
      </c>
      <c r="H7" s="20" t="s">
        <v>1519</v>
      </c>
      <c r="I7" s="20" t="s">
        <v>1520</v>
      </c>
      <c r="J7" s="22"/>
      <c r="K7" s="7" t="n">
        <v>0</v>
      </c>
      <c r="L7" s="23" t="s">
        <v>1521</v>
      </c>
      <c r="M7" s="6" t="s">
        <v>1522</v>
      </c>
    </row>
    <row r="8" customFormat="false" ht="37.5" hidden="false" customHeight="true" outlineLevel="0" collapsed="false">
      <c r="A8" s="11" t="s">
        <v>1523</v>
      </c>
      <c r="B8" s="11" t="s">
        <v>1505</v>
      </c>
      <c r="C8" s="24" t="s">
        <v>1524</v>
      </c>
      <c r="D8" s="11" t="s">
        <v>89</v>
      </c>
      <c r="E8" s="11" t="s">
        <v>218</v>
      </c>
      <c r="F8" s="11" t="s">
        <v>125</v>
      </c>
      <c r="G8" s="21" t="s">
        <v>16</v>
      </c>
      <c r="H8" s="24" t="s">
        <v>1525</v>
      </c>
      <c r="I8" s="24" t="s">
        <v>1526</v>
      </c>
      <c r="J8" s="25"/>
      <c r="K8" s="12" t="n">
        <v>0</v>
      </c>
      <c r="L8" s="26" t="s">
        <v>1527</v>
      </c>
      <c r="M8" s="11" t="s">
        <v>1528</v>
      </c>
    </row>
    <row r="10" customFormat="false" ht="21.75" hidden="false" customHeight="true" outlineLevel="0" collapsed="false">
      <c r="A10" s="19" t="s">
        <v>1529</v>
      </c>
      <c r="B10" s="19"/>
      <c r="C10" s="19"/>
      <c r="D10" s="19"/>
      <c r="E10" s="19"/>
      <c r="F10" s="19"/>
      <c r="G10" s="19"/>
      <c r="H10" s="19"/>
      <c r="I10" s="19"/>
      <c r="J10" s="19"/>
      <c r="K10" s="19"/>
      <c r="L10" s="19"/>
      <c r="M10" s="19"/>
    </row>
    <row r="11" customFormat="false" ht="37.5" hidden="false" customHeight="true" outlineLevel="0" collapsed="false">
      <c r="A11" s="6" t="s">
        <v>1530</v>
      </c>
      <c r="B11" s="6" t="s">
        <v>1531</v>
      </c>
      <c r="C11" s="20" t="s">
        <v>1532</v>
      </c>
      <c r="D11" s="6" t="s">
        <v>89</v>
      </c>
      <c r="E11" s="6" t="s">
        <v>211</v>
      </c>
      <c r="F11" s="27" t="s">
        <v>105</v>
      </c>
      <c r="G11" s="21" t="s">
        <v>16</v>
      </c>
      <c r="H11" s="20" t="s">
        <v>396</v>
      </c>
      <c r="I11" s="20" t="s">
        <v>1533</v>
      </c>
      <c r="J11" s="22"/>
      <c r="K11" s="7" t="n">
        <v>0</v>
      </c>
      <c r="L11" s="23" t="s">
        <v>1534</v>
      </c>
      <c r="M11" s="6" t="s">
        <v>1535</v>
      </c>
    </row>
    <row r="12" customFormat="false" ht="37.5" hidden="false" customHeight="true" outlineLevel="0" collapsed="false">
      <c r="A12" s="11" t="s">
        <v>1536</v>
      </c>
      <c r="B12" s="11" t="s">
        <v>1531</v>
      </c>
      <c r="C12" s="24" t="s">
        <v>1537</v>
      </c>
      <c r="D12" s="11" t="s">
        <v>89</v>
      </c>
      <c r="E12" s="11" t="s">
        <v>258</v>
      </c>
      <c r="F12" s="11" t="s">
        <v>125</v>
      </c>
      <c r="G12" s="21" t="s">
        <v>16</v>
      </c>
      <c r="H12" s="24" t="s">
        <v>1538</v>
      </c>
      <c r="I12" s="24" t="s">
        <v>1533</v>
      </c>
      <c r="J12" s="25"/>
      <c r="K12" s="12" t="n">
        <v>0</v>
      </c>
      <c r="L12" s="26" t="s">
        <v>1539</v>
      </c>
      <c r="M12" s="11" t="s">
        <v>1540</v>
      </c>
    </row>
    <row r="13" customFormat="false" ht="37.5" hidden="false" customHeight="true" outlineLevel="0" collapsed="false">
      <c r="A13" s="6" t="s">
        <v>1541</v>
      </c>
      <c r="B13" s="6" t="s">
        <v>1531</v>
      </c>
      <c r="C13" s="20" t="s">
        <v>1542</v>
      </c>
      <c r="D13" s="6" t="s">
        <v>89</v>
      </c>
      <c r="E13" s="6" t="s">
        <v>323</v>
      </c>
      <c r="F13" s="6" t="s">
        <v>1543</v>
      </c>
      <c r="G13" s="21" t="s">
        <v>16</v>
      </c>
      <c r="H13" s="20" t="s">
        <v>1544</v>
      </c>
      <c r="I13" s="20" t="s">
        <v>1545</v>
      </c>
      <c r="J13" s="22"/>
      <c r="K13" s="7" t="n">
        <v>0</v>
      </c>
      <c r="L13" s="23" t="s">
        <v>1546</v>
      </c>
      <c r="M13" s="6" t="s">
        <v>1547</v>
      </c>
    </row>
    <row r="14" customFormat="false" ht="37.5" hidden="false" customHeight="true" outlineLevel="0" collapsed="false">
      <c r="A14" s="11" t="s">
        <v>1548</v>
      </c>
      <c r="B14" s="11" t="s">
        <v>1531</v>
      </c>
      <c r="C14" s="24" t="s">
        <v>1549</v>
      </c>
      <c r="D14" s="11" t="s">
        <v>89</v>
      </c>
      <c r="E14" s="11" t="s">
        <v>506</v>
      </c>
      <c r="F14" s="11" t="s">
        <v>1543</v>
      </c>
      <c r="G14" s="21" t="s">
        <v>16</v>
      </c>
      <c r="H14" s="24" t="s">
        <v>1550</v>
      </c>
      <c r="I14" s="24" t="s">
        <v>1551</v>
      </c>
      <c r="J14" s="25"/>
      <c r="K14" s="12" t="n">
        <v>0</v>
      </c>
      <c r="L14" s="26" t="s">
        <v>1552</v>
      </c>
      <c r="M14" s="11" t="s">
        <v>1553</v>
      </c>
    </row>
    <row r="16" customFormat="false" ht="21.75" hidden="false" customHeight="true" outlineLevel="0" collapsed="false">
      <c r="A16" s="19" t="s">
        <v>1554</v>
      </c>
      <c r="B16" s="19"/>
      <c r="C16" s="19"/>
      <c r="D16" s="19"/>
      <c r="E16" s="19"/>
      <c r="F16" s="19"/>
      <c r="G16" s="19"/>
      <c r="H16" s="19"/>
      <c r="I16" s="19"/>
      <c r="J16" s="19"/>
      <c r="K16" s="19"/>
      <c r="L16" s="19"/>
      <c r="M16" s="19"/>
    </row>
    <row r="17" customFormat="false" ht="37.5" hidden="false" customHeight="true" outlineLevel="0" collapsed="false">
      <c r="A17" s="6" t="s">
        <v>1555</v>
      </c>
      <c r="B17" s="6" t="s">
        <v>1556</v>
      </c>
      <c r="C17" s="20" t="s">
        <v>1557</v>
      </c>
      <c r="D17" s="6" t="s">
        <v>89</v>
      </c>
      <c r="E17" s="6" t="s">
        <v>251</v>
      </c>
      <c r="F17" s="8" t="s">
        <v>91</v>
      </c>
      <c r="G17" s="21" t="s">
        <v>16</v>
      </c>
      <c r="H17" s="20" t="s">
        <v>1558</v>
      </c>
      <c r="I17" s="20" t="s">
        <v>1559</v>
      </c>
      <c r="J17" s="22"/>
      <c r="K17" s="7" t="n">
        <v>0</v>
      </c>
      <c r="L17" s="23" t="s">
        <v>1560</v>
      </c>
      <c r="M17" s="6" t="s">
        <v>1561</v>
      </c>
    </row>
    <row r="18" customFormat="false" ht="37.5" hidden="false" customHeight="true" outlineLevel="0" collapsed="false">
      <c r="A18" s="11" t="s">
        <v>1562</v>
      </c>
      <c r="B18" s="11" t="s">
        <v>1556</v>
      </c>
      <c r="C18" s="24" t="s">
        <v>1563</v>
      </c>
      <c r="D18" s="11" t="s">
        <v>89</v>
      </c>
      <c r="E18" s="11" t="s">
        <v>323</v>
      </c>
      <c r="F18" s="28" t="s">
        <v>105</v>
      </c>
      <c r="G18" s="21" t="s">
        <v>16</v>
      </c>
      <c r="H18" s="24" t="s">
        <v>1564</v>
      </c>
      <c r="I18" s="24" t="s">
        <v>1565</v>
      </c>
      <c r="J18" s="25"/>
      <c r="K18" s="12" t="n">
        <v>0</v>
      </c>
      <c r="L18" s="26" t="s">
        <v>1566</v>
      </c>
      <c r="M18" s="11" t="s">
        <v>1567</v>
      </c>
    </row>
    <row r="19" customFormat="false" ht="37.5" hidden="false" customHeight="true" outlineLevel="0" collapsed="false">
      <c r="A19" s="6" t="s">
        <v>1568</v>
      </c>
      <c r="B19" s="6" t="s">
        <v>1556</v>
      </c>
      <c r="C19" s="20" t="s">
        <v>1569</v>
      </c>
      <c r="D19" s="6" t="s">
        <v>89</v>
      </c>
      <c r="E19" s="6" t="s">
        <v>330</v>
      </c>
      <c r="F19" s="6" t="s">
        <v>125</v>
      </c>
      <c r="G19" s="21" t="s">
        <v>16</v>
      </c>
      <c r="H19" s="20" t="s">
        <v>1570</v>
      </c>
      <c r="I19" s="20" t="s">
        <v>1571</v>
      </c>
      <c r="J19" s="22"/>
      <c r="K19" s="7" t="n">
        <v>0</v>
      </c>
      <c r="L19" s="23" t="s">
        <v>1572</v>
      </c>
      <c r="M19" s="6" t="s">
        <v>1573</v>
      </c>
    </row>
    <row r="20" customFormat="false" ht="37.5" hidden="false" customHeight="true" outlineLevel="0" collapsed="false">
      <c r="A20" s="11" t="s">
        <v>1574</v>
      </c>
      <c r="B20" s="11" t="s">
        <v>1556</v>
      </c>
      <c r="C20" s="24" t="s">
        <v>1575</v>
      </c>
      <c r="D20" s="11" t="s">
        <v>89</v>
      </c>
      <c r="E20" s="11" t="s">
        <v>1576</v>
      </c>
      <c r="F20" s="11" t="s">
        <v>125</v>
      </c>
      <c r="G20" s="21" t="s">
        <v>16</v>
      </c>
      <c r="H20" s="24" t="s">
        <v>1577</v>
      </c>
      <c r="I20" s="24" t="s">
        <v>1578</v>
      </c>
      <c r="J20" s="25"/>
      <c r="K20" s="12" t="n">
        <v>0</v>
      </c>
      <c r="L20" s="26" t="s">
        <v>1579</v>
      </c>
      <c r="M20" s="11" t="s">
        <v>1580</v>
      </c>
    </row>
    <row r="22" customFormat="false" ht="21.75" hidden="false" customHeight="true" outlineLevel="0" collapsed="false">
      <c r="A22" s="19" t="s">
        <v>1581</v>
      </c>
      <c r="B22" s="19"/>
      <c r="C22" s="19"/>
      <c r="D22" s="19"/>
      <c r="E22" s="19"/>
      <c r="F22" s="19"/>
      <c r="G22" s="19"/>
      <c r="H22" s="19"/>
      <c r="I22" s="19"/>
      <c r="J22" s="19"/>
      <c r="K22" s="19"/>
      <c r="L22" s="19"/>
      <c r="M22" s="19"/>
    </row>
    <row r="23" customFormat="false" ht="37.5" hidden="false" customHeight="true" outlineLevel="0" collapsed="false">
      <c r="A23" s="6" t="s">
        <v>1582</v>
      </c>
      <c r="B23" s="6" t="s">
        <v>1583</v>
      </c>
      <c r="C23" s="20" t="s">
        <v>1584</v>
      </c>
      <c r="D23" s="6" t="s">
        <v>89</v>
      </c>
      <c r="E23" s="6" t="s">
        <v>434</v>
      </c>
      <c r="F23" s="27" t="s">
        <v>105</v>
      </c>
      <c r="G23" s="21" t="s">
        <v>16</v>
      </c>
      <c r="H23" s="20" t="s">
        <v>1585</v>
      </c>
      <c r="I23" s="20" t="s">
        <v>1586</v>
      </c>
      <c r="J23" s="22"/>
      <c r="K23" s="7" t="n">
        <v>0</v>
      </c>
      <c r="L23" s="23" t="s">
        <v>1587</v>
      </c>
      <c r="M23" s="6" t="s">
        <v>268</v>
      </c>
    </row>
    <row r="24" customFormat="false" ht="37.5" hidden="false" customHeight="true" outlineLevel="0" collapsed="false">
      <c r="A24" s="11" t="s">
        <v>1588</v>
      </c>
      <c r="B24" s="11" t="s">
        <v>1583</v>
      </c>
      <c r="C24" s="24" t="s">
        <v>1589</v>
      </c>
      <c r="D24" s="11" t="s">
        <v>89</v>
      </c>
      <c r="E24" s="11" t="s">
        <v>506</v>
      </c>
      <c r="F24" s="11" t="s">
        <v>125</v>
      </c>
      <c r="G24" s="21" t="s">
        <v>16</v>
      </c>
      <c r="H24" s="24" t="s">
        <v>1585</v>
      </c>
      <c r="I24" s="24" t="s">
        <v>1590</v>
      </c>
      <c r="J24" s="25"/>
      <c r="K24" s="12" t="n">
        <v>0</v>
      </c>
      <c r="L24" s="26" t="s">
        <v>1591</v>
      </c>
      <c r="M24" s="11" t="s">
        <v>1592</v>
      </c>
    </row>
    <row r="25" customFormat="false" ht="37.5" hidden="false" customHeight="true" outlineLevel="0" collapsed="false">
      <c r="A25" s="6" t="s">
        <v>1593</v>
      </c>
      <c r="B25" s="6" t="s">
        <v>1583</v>
      </c>
      <c r="C25" s="20" t="s">
        <v>1594</v>
      </c>
      <c r="D25" s="6" t="s">
        <v>89</v>
      </c>
      <c r="E25" s="6" t="s">
        <v>441</v>
      </c>
      <c r="F25" s="6" t="s">
        <v>125</v>
      </c>
      <c r="G25" s="21" t="s">
        <v>16</v>
      </c>
      <c r="H25" s="20" t="s">
        <v>1595</v>
      </c>
      <c r="I25" s="20" t="s">
        <v>1596</v>
      </c>
      <c r="J25" s="22"/>
      <c r="K25" s="7" t="n">
        <v>0</v>
      </c>
      <c r="L25" s="23" t="s">
        <v>1597</v>
      </c>
      <c r="M25" s="6" t="s">
        <v>1598</v>
      </c>
    </row>
    <row r="26" customFormat="false" ht="37.5" hidden="false" customHeight="true" outlineLevel="0" collapsed="false">
      <c r="A26" s="11" t="s">
        <v>1599</v>
      </c>
      <c r="B26" s="11" t="s">
        <v>1583</v>
      </c>
      <c r="C26" s="24" t="s">
        <v>1600</v>
      </c>
      <c r="D26" s="11" t="s">
        <v>89</v>
      </c>
      <c r="E26" s="11" t="s">
        <v>1601</v>
      </c>
      <c r="F26" s="11" t="s">
        <v>125</v>
      </c>
      <c r="G26" s="21" t="s">
        <v>16</v>
      </c>
      <c r="H26" s="24" t="s">
        <v>1602</v>
      </c>
      <c r="I26" s="24" t="s">
        <v>1603</v>
      </c>
      <c r="J26" s="25"/>
      <c r="K26" s="12" t="n">
        <v>0</v>
      </c>
      <c r="L26" s="26" t="s">
        <v>1604</v>
      </c>
      <c r="M26" s="11" t="s">
        <v>1605</v>
      </c>
    </row>
  </sheetData>
  <mergeCells count="6">
    <mergeCell ref="A1:M1"/>
    <mergeCell ref="A2:M2"/>
    <mergeCell ref="A4:M4"/>
    <mergeCell ref="A10:M10"/>
    <mergeCell ref="A16:M16"/>
    <mergeCell ref="A22:M2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E5090"/>
    <pageSetUpPr fitToPage="false"/>
  </sheetPr>
  <dimension ref="A1:M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0"/>
    <col collapsed="false" customWidth="true" hidden="false" outlineLevel="0" max="3" min="3" style="0" width="55"/>
    <col collapsed="false" customWidth="true" hidden="false" outlineLevel="0" max="5" min="4" style="0" width="12"/>
    <col collapsed="false" customWidth="true" hidden="false" outlineLevel="0" max="6" min="6" style="0" width="10"/>
    <col collapsed="false" customWidth="true" hidden="false" outlineLevel="0" max="7" min="7" style="0" width="14"/>
    <col collapsed="false" customWidth="true" hidden="false" outlineLevel="0" max="8" min="8" style="0" width="28"/>
    <col collapsed="false" customWidth="true" hidden="false" outlineLevel="0" max="9" min="9" style="0" width="22"/>
    <col collapsed="false" customWidth="true" hidden="false" outlineLevel="0" max="10" min="10" style="0" width="18"/>
    <col collapsed="false" customWidth="true" hidden="false" outlineLevel="0" max="11" min="11" style="0" width="10"/>
    <col collapsed="false" customWidth="true" hidden="false" outlineLevel="0" max="12" min="12" style="0" width="50"/>
    <col collapsed="false" customWidth="true" hidden="false" outlineLevel="0" max="13" min="13" style="0" width="14"/>
  </cols>
  <sheetData>
    <row r="1" customFormat="false" ht="27.75" hidden="false" customHeight="true" outlineLevel="0" collapsed="false">
      <c r="A1" s="17" t="s">
        <v>1606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</row>
    <row r="2" customFormat="false" ht="21.75" hidden="false" customHeight="true" outlineLevel="0" collapsed="false">
      <c r="A2" s="18" t="s">
        <v>72</v>
      </c>
      <c r="B2" s="18"/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</row>
    <row r="3" customFormat="false" ht="24" hidden="false" customHeight="true" outlineLevel="0" collapsed="false">
      <c r="A3" s="3" t="s">
        <v>73</v>
      </c>
      <c r="B3" s="3" t="s">
        <v>74</v>
      </c>
      <c r="C3" s="3" t="s">
        <v>75</v>
      </c>
      <c r="D3" s="3" t="s">
        <v>76</v>
      </c>
      <c r="E3" s="3" t="s">
        <v>77</v>
      </c>
      <c r="F3" s="3" t="s">
        <v>78</v>
      </c>
      <c r="G3" s="3" t="s">
        <v>9</v>
      </c>
      <c r="H3" s="3" t="s">
        <v>79</v>
      </c>
      <c r="I3" s="3" t="s">
        <v>80</v>
      </c>
      <c r="J3" s="3" t="s">
        <v>81</v>
      </c>
      <c r="K3" s="3" t="s">
        <v>82</v>
      </c>
      <c r="L3" s="3" t="s">
        <v>83</v>
      </c>
      <c r="M3" s="3" t="s">
        <v>84</v>
      </c>
    </row>
    <row r="4" customFormat="false" ht="21.75" hidden="false" customHeight="true" outlineLevel="0" collapsed="false">
      <c r="A4" s="19" t="s">
        <v>1607</v>
      </c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</row>
    <row r="5" customFormat="false" ht="37.5" hidden="false" customHeight="true" outlineLevel="0" collapsed="false">
      <c r="A5" s="6" t="s">
        <v>1608</v>
      </c>
      <c r="B5" s="6" t="s">
        <v>1609</v>
      </c>
      <c r="C5" s="20" t="s">
        <v>1610</v>
      </c>
      <c r="D5" s="6" t="s">
        <v>89</v>
      </c>
      <c r="E5" s="6" t="s">
        <v>769</v>
      </c>
      <c r="F5" s="27" t="s">
        <v>105</v>
      </c>
      <c r="G5" s="21" t="s">
        <v>16</v>
      </c>
      <c r="H5" s="20" t="s">
        <v>1611</v>
      </c>
      <c r="I5" s="20" t="s">
        <v>1612</v>
      </c>
      <c r="J5" s="22"/>
      <c r="K5" s="7" t="n">
        <v>0</v>
      </c>
      <c r="L5" s="23" t="s">
        <v>1613</v>
      </c>
      <c r="M5" s="6" t="s">
        <v>1614</v>
      </c>
    </row>
    <row r="6" customFormat="false" ht="37.5" hidden="false" customHeight="true" outlineLevel="0" collapsed="false">
      <c r="A6" s="11" t="s">
        <v>1615</v>
      </c>
      <c r="B6" s="11" t="s">
        <v>1609</v>
      </c>
      <c r="C6" s="24" t="s">
        <v>1616</v>
      </c>
      <c r="D6" s="11" t="s">
        <v>89</v>
      </c>
      <c r="E6" s="11" t="s">
        <v>798</v>
      </c>
      <c r="F6" s="28" t="s">
        <v>105</v>
      </c>
      <c r="G6" s="21" t="s">
        <v>16</v>
      </c>
      <c r="H6" s="24" t="s">
        <v>1617</v>
      </c>
      <c r="I6" s="24" t="s">
        <v>1618</v>
      </c>
      <c r="J6" s="25"/>
      <c r="K6" s="12" t="n">
        <v>0</v>
      </c>
      <c r="L6" s="26" t="s">
        <v>1619</v>
      </c>
      <c r="M6" s="11" t="s">
        <v>1620</v>
      </c>
    </row>
    <row r="7" customFormat="false" ht="37.5" hidden="false" customHeight="true" outlineLevel="0" collapsed="false">
      <c r="A7" s="6" t="s">
        <v>1621</v>
      </c>
      <c r="B7" s="6" t="s">
        <v>1609</v>
      </c>
      <c r="C7" s="20" t="s">
        <v>1622</v>
      </c>
      <c r="D7" s="6" t="s">
        <v>89</v>
      </c>
      <c r="E7" s="6" t="s">
        <v>769</v>
      </c>
      <c r="F7" s="27" t="s">
        <v>105</v>
      </c>
      <c r="G7" s="21" t="s">
        <v>16</v>
      </c>
      <c r="H7" s="20" t="s">
        <v>1623</v>
      </c>
      <c r="I7" s="20" t="s">
        <v>1624</v>
      </c>
      <c r="J7" s="22"/>
      <c r="K7" s="7" t="n">
        <v>0</v>
      </c>
      <c r="L7" s="23" t="s">
        <v>1625</v>
      </c>
      <c r="M7" s="6" t="s">
        <v>1626</v>
      </c>
    </row>
    <row r="8" customFormat="false" ht="37.5" hidden="false" customHeight="true" outlineLevel="0" collapsed="false">
      <c r="A8" s="11" t="s">
        <v>1627</v>
      </c>
      <c r="B8" s="11" t="s">
        <v>1609</v>
      </c>
      <c r="C8" s="24" t="s">
        <v>1628</v>
      </c>
      <c r="D8" s="11" t="s">
        <v>89</v>
      </c>
      <c r="E8" s="11" t="s">
        <v>841</v>
      </c>
      <c r="F8" s="11" t="s">
        <v>125</v>
      </c>
      <c r="G8" s="21" t="s">
        <v>16</v>
      </c>
      <c r="H8" s="24" t="s">
        <v>1629</v>
      </c>
      <c r="I8" s="24" t="s">
        <v>1630</v>
      </c>
      <c r="J8" s="25"/>
      <c r="K8" s="12" t="n">
        <v>0</v>
      </c>
      <c r="L8" s="26" t="s">
        <v>1631</v>
      </c>
      <c r="M8" s="11" t="s">
        <v>1632</v>
      </c>
    </row>
    <row r="9" customFormat="false" ht="37.5" hidden="false" customHeight="true" outlineLevel="0" collapsed="false">
      <c r="A9" s="6" t="s">
        <v>1633</v>
      </c>
      <c r="B9" s="6" t="s">
        <v>1609</v>
      </c>
      <c r="C9" s="20" t="s">
        <v>1634</v>
      </c>
      <c r="D9" s="6" t="s">
        <v>89</v>
      </c>
      <c r="E9" s="6" t="s">
        <v>825</v>
      </c>
      <c r="F9" s="27" t="s">
        <v>105</v>
      </c>
      <c r="G9" s="21" t="s">
        <v>16</v>
      </c>
      <c r="H9" s="20" t="s">
        <v>1635</v>
      </c>
      <c r="I9" s="20" t="s">
        <v>1636</v>
      </c>
      <c r="J9" s="22"/>
      <c r="K9" s="7" t="n">
        <v>0</v>
      </c>
      <c r="L9" s="23" t="s">
        <v>1637</v>
      </c>
      <c r="M9" s="6" t="s">
        <v>1638</v>
      </c>
    </row>
    <row r="11" customFormat="false" ht="21.75" hidden="false" customHeight="true" outlineLevel="0" collapsed="false">
      <c r="A11" s="19" t="s">
        <v>1639</v>
      </c>
      <c r="B11" s="19"/>
      <c r="C11" s="19"/>
      <c r="D11" s="19"/>
      <c r="E11" s="19"/>
      <c r="F11" s="19"/>
      <c r="G11" s="19"/>
      <c r="H11" s="19"/>
      <c r="I11" s="19"/>
      <c r="J11" s="19"/>
      <c r="K11" s="19"/>
      <c r="L11" s="19"/>
      <c r="M11" s="19"/>
    </row>
    <row r="12" customFormat="false" ht="37.5" hidden="false" customHeight="true" outlineLevel="0" collapsed="false">
      <c r="A12" s="6" t="s">
        <v>1640</v>
      </c>
      <c r="B12" s="6" t="s">
        <v>1641</v>
      </c>
      <c r="C12" s="20" t="s">
        <v>1642</v>
      </c>
      <c r="D12" s="6" t="s">
        <v>89</v>
      </c>
      <c r="E12" s="6" t="s">
        <v>832</v>
      </c>
      <c r="F12" s="27" t="s">
        <v>105</v>
      </c>
      <c r="G12" s="21" t="s">
        <v>16</v>
      </c>
      <c r="H12" s="20" t="s">
        <v>1643</v>
      </c>
      <c r="I12" s="20" t="s">
        <v>1644</v>
      </c>
      <c r="J12" s="22"/>
      <c r="K12" s="7" t="n">
        <v>0</v>
      </c>
      <c r="L12" s="23" t="s">
        <v>1645</v>
      </c>
      <c r="M12" s="6" t="s">
        <v>1646</v>
      </c>
    </row>
    <row r="13" customFormat="false" ht="37.5" hidden="false" customHeight="true" outlineLevel="0" collapsed="false">
      <c r="A13" s="11" t="s">
        <v>1647</v>
      </c>
      <c r="B13" s="11" t="s">
        <v>1641</v>
      </c>
      <c r="C13" s="24" t="s">
        <v>1648</v>
      </c>
      <c r="D13" s="11" t="s">
        <v>89</v>
      </c>
      <c r="E13" s="11" t="s">
        <v>832</v>
      </c>
      <c r="F13" s="28" t="s">
        <v>105</v>
      </c>
      <c r="G13" s="21" t="s">
        <v>16</v>
      </c>
      <c r="H13" s="24" t="s">
        <v>1649</v>
      </c>
      <c r="I13" s="24" t="s">
        <v>1650</v>
      </c>
      <c r="J13" s="25"/>
      <c r="K13" s="12" t="n">
        <v>0</v>
      </c>
      <c r="L13" s="26" t="s">
        <v>1651</v>
      </c>
      <c r="M13" s="11" t="s">
        <v>1652</v>
      </c>
    </row>
    <row r="14" customFormat="false" ht="37.5" hidden="false" customHeight="true" outlineLevel="0" collapsed="false">
      <c r="A14" s="6" t="s">
        <v>1653</v>
      </c>
      <c r="B14" s="6" t="s">
        <v>1641</v>
      </c>
      <c r="C14" s="20" t="s">
        <v>1654</v>
      </c>
      <c r="D14" s="6" t="s">
        <v>89</v>
      </c>
      <c r="E14" s="6" t="s">
        <v>1212</v>
      </c>
      <c r="F14" s="6" t="s">
        <v>125</v>
      </c>
      <c r="G14" s="21" t="s">
        <v>16</v>
      </c>
      <c r="H14" s="20" t="s">
        <v>1655</v>
      </c>
      <c r="I14" s="20" t="s">
        <v>1656</v>
      </c>
      <c r="J14" s="22"/>
      <c r="K14" s="7" t="n">
        <v>0</v>
      </c>
      <c r="L14" s="23" t="s">
        <v>1657</v>
      </c>
      <c r="M14" s="6" t="s">
        <v>1658</v>
      </c>
    </row>
    <row r="15" customFormat="false" ht="37.5" hidden="false" customHeight="true" outlineLevel="0" collapsed="false">
      <c r="A15" s="11" t="s">
        <v>1659</v>
      </c>
      <c r="B15" s="11" t="s">
        <v>1641</v>
      </c>
      <c r="C15" s="24" t="s">
        <v>1660</v>
      </c>
      <c r="D15" s="11" t="s">
        <v>89</v>
      </c>
      <c r="E15" s="11" t="s">
        <v>1661</v>
      </c>
      <c r="F15" s="28" t="s">
        <v>105</v>
      </c>
      <c r="G15" s="21" t="s">
        <v>16</v>
      </c>
      <c r="H15" s="24" t="s">
        <v>1662</v>
      </c>
      <c r="I15" s="24" t="s">
        <v>1663</v>
      </c>
      <c r="J15" s="25"/>
      <c r="K15" s="12" t="n">
        <v>0</v>
      </c>
      <c r="L15" s="26" t="s">
        <v>1664</v>
      </c>
      <c r="M15" s="11" t="s">
        <v>1665</v>
      </c>
    </row>
    <row r="17" customFormat="false" ht="21.75" hidden="false" customHeight="true" outlineLevel="0" collapsed="false">
      <c r="A17" s="19" t="s">
        <v>1666</v>
      </c>
      <c r="B17" s="19"/>
      <c r="C17" s="19"/>
      <c r="D17" s="19"/>
      <c r="E17" s="19"/>
      <c r="F17" s="19"/>
      <c r="G17" s="19"/>
      <c r="H17" s="19"/>
      <c r="I17" s="19"/>
      <c r="J17" s="19"/>
      <c r="K17" s="19"/>
      <c r="L17" s="19"/>
      <c r="M17" s="19"/>
    </row>
    <row r="18" customFormat="false" ht="37.5" hidden="false" customHeight="true" outlineLevel="0" collapsed="false">
      <c r="A18" s="6" t="s">
        <v>1667</v>
      </c>
      <c r="B18" s="6" t="s">
        <v>1668</v>
      </c>
      <c r="C18" s="20" t="s">
        <v>1669</v>
      </c>
      <c r="D18" s="6" t="s">
        <v>89</v>
      </c>
      <c r="E18" s="6" t="s">
        <v>1212</v>
      </c>
      <c r="F18" s="27" t="s">
        <v>105</v>
      </c>
      <c r="G18" s="21" t="s">
        <v>16</v>
      </c>
      <c r="H18" s="20" t="s">
        <v>1193</v>
      </c>
      <c r="I18" s="20" t="s">
        <v>1670</v>
      </c>
      <c r="J18" s="22"/>
      <c r="K18" s="7" t="n">
        <v>0</v>
      </c>
      <c r="L18" s="23" t="s">
        <v>1671</v>
      </c>
      <c r="M18" s="6" t="s">
        <v>1196</v>
      </c>
    </row>
    <row r="19" customFormat="false" ht="37.5" hidden="false" customHeight="true" outlineLevel="0" collapsed="false">
      <c r="A19" s="11" t="s">
        <v>1672</v>
      </c>
      <c r="B19" s="11" t="s">
        <v>1668</v>
      </c>
      <c r="C19" s="24" t="s">
        <v>1673</v>
      </c>
      <c r="D19" s="11" t="s">
        <v>89</v>
      </c>
      <c r="E19" s="11" t="s">
        <v>1347</v>
      </c>
      <c r="F19" s="11" t="s">
        <v>125</v>
      </c>
      <c r="G19" s="21" t="s">
        <v>16</v>
      </c>
      <c r="H19" s="24" t="s">
        <v>1674</v>
      </c>
      <c r="I19" s="24" t="s">
        <v>1675</v>
      </c>
      <c r="J19" s="25"/>
      <c r="K19" s="12" t="n">
        <v>0</v>
      </c>
      <c r="L19" s="26" t="s">
        <v>1676</v>
      </c>
      <c r="M19" s="11" t="s">
        <v>1677</v>
      </c>
    </row>
    <row r="20" customFormat="false" ht="37.5" hidden="false" customHeight="true" outlineLevel="0" collapsed="false">
      <c r="A20" s="6" t="s">
        <v>1678</v>
      </c>
      <c r="B20" s="6" t="s">
        <v>1668</v>
      </c>
      <c r="C20" s="20" t="s">
        <v>1679</v>
      </c>
      <c r="D20" s="6" t="s">
        <v>89</v>
      </c>
      <c r="E20" s="6" t="s">
        <v>1354</v>
      </c>
      <c r="F20" s="6" t="s">
        <v>125</v>
      </c>
      <c r="G20" s="21" t="s">
        <v>16</v>
      </c>
      <c r="H20" s="20" t="s">
        <v>1680</v>
      </c>
      <c r="I20" s="20" t="s">
        <v>1042</v>
      </c>
      <c r="J20" s="22"/>
      <c r="K20" s="7" t="n">
        <v>0</v>
      </c>
      <c r="L20" s="23" t="s">
        <v>1681</v>
      </c>
      <c r="M20" s="6" t="s">
        <v>1682</v>
      </c>
    </row>
    <row r="21" customFormat="false" ht="37.5" hidden="false" customHeight="true" outlineLevel="0" collapsed="false">
      <c r="A21" s="11" t="s">
        <v>1683</v>
      </c>
      <c r="B21" s="11" t="s">
        <v>1668</v>
      </c>
      <c r="C21" s="24" t="s">
        <v>1684</v>
      </c>
      <c r="D21" s="11" t="s">
        <v>89</v>
      </c>
      <c r="E21" s="11" t="s">
        <v>1354</v>
      </c>
      <c r="F21" s="11" t="s">
        <v>125</v>
      </c>
      <c r="G21" s="21" t="s">
        <v>16</v>
      </c>
      <c r="H21" s="24" t="s">
        <v>1685</v>
      </c>
      <c r="I21" s="24" t="s">
        <v>1686</v>
      </c>
      <c r="J21" s="25"/>
      <c r="K21" s="12" t="n">
        <v>0</v>
      </c>
      <c r="L21" s="26" t="s">
        <v>1687</v>
      </c>
      <c r="M21" s="11" t="s">
        <v>1688</v>
      </c>
    </row>
    <row r="22" customFormat="false" ht="37.5" hidden="false" customHeight="true" outlineLevel="0" collapsed="false">
      <c r="A22" s="6" t="s">
        <v>1689</v>
      </c>
      <c r="B22" s="6" t="s">
        <v>1668</v>
      </c>
      <c r="C22" s="20" t="s">
        <v>1690</v>
      </c>
      <c r="D22" s="6" t="s">
        <v>89</v>
      </c>
      <c r="E22" s="6" t="s">
        <v>1691</v>
      </c>
      <c r="F22" s="6" t="s">
        <v>125</v>
      </c>
      <c r="G22" s="21" t="s">
        <v>16</v>
      </c>
      <c r="H22" s="20" t="s">
        <v>1692</v>
      </c>
      <c r="I22" s="20" t="s">
        <v>1693</v>
      </c>
      <c r="J22" s="22"/>
      <c r="K22" s="7" t="n">
        <v>0</v>
      </c>
      <c r="L22" s="23" t="s">
        <v>1694</v>
      </c>
      <c r="M22" s="6" t="s">
        <v>1695</v>
      </c>
    </row>
    <row r="24" customFormat="false" ht="21.75" hidden="false" customHeight="true" outlineLevel="0" collapsed="false">
      <c r="A24" s="19" t="s">
        <v>1696</v>
      </c>
      <c r="B24" s="19"/>
      <c r="C24" s="19"/>
      <c r="D24" s="19"/>
      <c r="E24" s="19"/>
      <c r="F24" s="19"/>
      <c r="G24" s="19"/>
      <c r="H24" s="19"/>
      <c r="I24" s="19"/>
      <c r="J24" s="19"/>
      <c r="K24" s="19"/>
      <c r="L24" s="19"/>
      <c r="M24" s="19"/>
    </row>
    <row r="25" customFormat="false" ht="37.5" hidden="false" customHeight="true" outlineLevel="0" collapsed="false">
      <c r="A25" s="6" t="s">
        <v>1697</v>
      </c>
      <c r="B25" s="6" t="s">
        <v>1698</v>
      </c>
      <c r="C25" s="20" t="s">
        <v>1699</v>
      </c>
      <c r="D25" s="6" t="s">
        <v>89</v>
      </c>
      <c r="E25" s="6" t="s">
        <v>832</v>
      </c>
      <c r="F25" s="27" t="s">
        <v>105</v>
      </c>
      <c r="G25" s="21" t="s">
        <v>16</v>
      </c>
      <c r="H25" s="20" t="s">
        <v>1700</v>
      </c>
      <c r="I25" s="20" t="s">
        <v>1701</v>
      </c>
      <c r="J25" s="22"/>
      <c r="K25" s="7" t="n">
        <v>0</v>
      </c>
      <c r="L25" s="23" t="s">
        <v>1702</v>
      </c>
      <c r="M25" s="6" t="s">
        <v>1703</v>
      </c>
    </row>
    <row r="26" customFormat="false" ht="37.5" hidden="false" customHeight="true" outlineLevel="0" collapsed="false">
      <c r="A26" s="11" t="s">
        <v>1704</v>
      </c>
      <c r="B26" s="11" t="s">
        <v>1698</v>
      </c>
      <c r="C26" s="24" t="s">
        <v>1705</v>
      </c>
      <c r="D26" s="11" t="s">
        <v>89</v>
      </c>
      <c r="E26" s="11" t="s">
        <v>1661</v>
      </c>
      <c r="F26" s="28" t="s">
        <v>105</v>
      </c>
      <c r="G26" s="21" t="s">
        <v>16</v>
      </c>
      <c r="H26" s="24" t="s">
        <v>1706</v>
      </c>
      <c r="I26" s="24" t="s">
        <v>1707</v>
      </c>
      <c r="J26" s="25"/>
      <c r="K26" s="12" t="n">
        <v>0</v>
      </c>
      <c r="L26" s="26" t="s">
        <v>1708</v>
      </c>
      <c r="M26" s="11" t="s">
        <v>1709</v>
      </c>
    </row>
    <row r="27" customFormat="false" ht="37.5" hidden="false" customHeight="true" outlineLevel="0" collapsed="false">
      <c r="A27" s="6" t="s">
        <v>1710</v>
      </c>
      <c r="B27" s="6" t="s">
        <v>1698</v>
      </c>
      <c r="C27" s="20" t="s">
        <v>1711</v>
      </c>
      <c r="D27" s="6" t="s">
        <v>89</v>
      </c>
      <c r="E27" s="6" t="s">
        <v>1284</v>
      </c>
      <c r="F27" s="6" t="s">
        <v>125</v>
      </c>
      <c r="G27" s="21" t="s">
        <v>16</v>
      </c>
      <c r="H27" s="20" t="s">
        <v>1712</v>
      </c>
      <c r="I27" s="20" t="s">
        <v>1713</v>
      </c>
      <c r="J27" s="22"/>
      <c r="K27" s="7" t="n">
        <v>0</v>
      </c>
      <c r="L27" s="23" t="s">
        <v>1714</v>
      </c>
      <c r="M27" s="6" t="s">
        <v>1715</v>
      </c>
    </row>
    <row r="28" customFormat="false" ht="37.5" hidden="false" customHeight="true" outlineLevel="0" collapsed="false">
      <c r="A28" s="11" t="s">
        <v>1716</v>
      </c>
      <c r="B28" s="11" t="s">
        <v>1698</v>
      </c>
      <c r="C28" s="24" t="s">
        <v>1717</v>
      </c>
      <c r="D28" s="11" t="s">
        <v>89</v>
      </c>
      <c r="E28" s="11" t="s">
        <v>1718</v>
      </c>
      <c r="F28" s="28" t="s">
        <v>105</v>
      </c>
      <c r="G28" s="21" t="s">
        <v>16</v>
      </c>
      <c r="H28" s="24" t="s">
        <v>1719</v>
      </c>
      <c r="I28" s="24" t="s">
        <v>1720</v>
      </c>
      <c r="J28" s="25"/>
      <c r="K28" s="12" t="n">
        <v>0</v>
      </c>
      <c r="L28" s="26" t="s">
        <v>1721</v>
      </c>
      <c r="M28" s="11" t="s">
        <v>1722</v>
      </c>
    </row>
  </sheetData>
  <mergeCells count="6">
    <mergeCell ref="A1:M1"/>
    <mergeCell ref="A2:M2"/>
    <mergeCell ref="A4:M4"/>
    <mergeCell ref="A11:M11"/>
    <mergeCell ref="A17:M17"/>
    <mergeCell ref="A24:M2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E5090"/>
    <pageSetUpPr fitToPage="false"/>
  </sheetPr>
  <dimension ref="A1:M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0"/>
    <col collapsed="false" customWidth="true" hidden="false" outlineLevel="0" max="3" min="3" style="0" width="55"/>
    <col collapsed="false" customWidth="true" hidden="false" outlineLevel="0" max="5" min="4" style="0" width="12"/>
    <col collapsed="false" customWidth="true" hidden="false" outlineLevel="0" max="6" min="6" style="0" width="10"/>
    <col collapsed="false" customWidth="true" hidden="false" outlineLevel="0" max="7" min="7" style="0" width="14"/>
    <col collapsed="false" customWidth="true" hidden="false" outlineLevel="0" max="8" min="8" style="0" width="28"/>
    <col collapsed="false" customWidth="true" hidden="false" outlineLevel="0" max="9" min="9" style="0" width="22"/>
    <col collapsed="false" customWidth="true" hidden="false" outlineLevel="0" max="10" min="10" style="0" width="18"/>
    <col collapsed="false" customWidth="true" hidden="false" outlineLevel="0" max="11" min="11" style="0" width="10"/>
    <col collapsed="false" customWidth="true" hidden="false" outlineLevel="0" max="12" min="12" style="0" width="50"/>
    <col collapsed="false" customWidth="true" hidden="false" outlineLevel="0" max="13" min="13" style="0" width="14"/>
  </cols>
  <sheetData>
    <row r="1" customFormat="false" ht="27.75" hidden="false" customHeight="true" outlineLevel="0" collapsed="false">
      <c r="A1" s="17" t="s">
        <v>1723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</row>
    <row r="2" customFormat="false" ht="21.75" hidden="false" customHeight="true" outlineLevel="0" collapsed="false">
      <c r="A2" s="18" t="s">
        <v>72</v>
      </c>
      <c r="B2" s="18"/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</row>
    <row r="3" customFormat="false" ht="24" hidden="false" customHeight="true" outlineLevel="0" collapsed="false">
      <c r="A3" s="3" t="s">
        <v>73</v>
      </c>
      <c r="B3" s="3" t="s">
        <v>74</v>
      </c>
      <c r="C3" s="3" t="s">
        <v>75</v>
      </c>
      <c r="D3" s="3" t="s">
        <v>76</v>
      </c>
      <c r="E3" s="3" t="s">
        <v>77</v>
      </c>
      <c r="F3" s="3" t="s">
        <v>78</v>
      </c>
      <c r="G3" s="3" t="s">
        <v>9</v>
      </c>
      <c r="H3" s="3" t="s">
        <v>79</v>
      </c>
      <c r="I3" s="3" t="s">
        <v>80</v>
      </c>
      <c r="J3" s="3" t="s">
        <v>81</v>
      </c>
      <c r="K3" s="3" t="s">
        <v>82</v>
      </c>
      <c r="L3" s="3" t="s">
        <v>83</v>
      </c>
      <c r="M3" s="3" t="s">
        <v>84</v>
      </c>
    </row>
    <row r="4" customFormat="false" ht="21.75" hidden="false" customHeight="true" outlineLevel="0" collapsed="false">
      <c r="A4" s="19" t="s">
        <v>1724</v>
      </c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</row>
    <row r="5" customFormat="false" ht="37.5" hidden="false" customHeight="true" outlineLevel="0" collapsed="false">
      <c r="A5" s="6" t="s">
        <v>1725</v>
      </c>
      <c r="B5" s="6" t="s">
        <v>1726</v>
      </c>
      <c r="C5" s="20" t="s">
        <v>1727</v>
      </c>
      <c r="D5" s="6" t="s">
        <v>89</v>
      </c>
      <c r="E5" s="6" t="s">
        <v>1027</v>
      </c>
      <c r="F5" s="27" t="s">
        <v>105</v>
      </c>
      <c r="G5" s="21" t="s">
        <v>16</v>
      </c>
      <c r="H5" s="20" t="s">
        <v>1728</v>
      </c>
      <c r="I5" s="20" t="s">
        <v>1729</v>
      </c>
      <c r="J5" s="22"/>
      <c r="K5" s="7" t="n">
        <v>0</v>
      </c>
      <c r="L5" s="23" t="s">
        <v>1730</v>
      </c>
      <c r="M5" s="6" t="s">
        <v>1731</v>
      </c>
    </row>
    <row r="6" customFormat="false" ht="37.5" hidden="false" customHeight="true" outlineLevel="0" collapsed="false">
      <c r="A6" s="11" t="s">
        <v>1732</v>
      </c>
      <c r="B6" s="11" t="s">
        <v>1726</v>
      </c>
      <c r="C6" s="24" t="s">
        <v>1733</v>
      </c>
      <c r="D6" s="11" t="s">
        <v>89</v>
      </c>
      <c r="E6" s="11" t="s">
        <v>1034</v>
      </c>
      <c r="F6" s="28" t="s">
        <v>105</v>
      </c>
      <c r="G6" s="21" t="s">
        <v>16</v>
      </c>
      <c r="H6" s="24" t="s">
        <v>899</v>
      </c>
      <c r="I6" s="24" t="s">
        <v>1734</v>
      </c>
      <c r="J6" s="25"/>
      <c r="K6" s="12" t="n">
        <v>0</v>
      </c>
      <c r="L6" s="26" t="s">
        <v>1735</v>
      </c>
      <c r="M6" s="11" t="s">
        <v>1736</v>
      </c>
    </row>
    <row r="7" customFormat="false" ht="37.5" hidden="false" customHeight="true" outlineLevel="0" collapsed="false">
      <c r="A7" s="6" t="s">
        <v>1737</v>
      </c>
      <c r="B7" s="6" t="s">
        <v>1726</v>
      </c>
      <c r="C7" s="20" t="s">
        <v>1738</v>
      </c>
      <c r="D7" s="6" t="s">
        <v>89</v>
      </c>
      <c r="E7" s="6" t="s">
        <v>769</v>
      </c>
      <c r="F7" s="6" t="s">
        <v>125</v>
      </c>
      <c r="G7" s="21" t="s">
        <v>16</v>
      </c>
      <c r="H7" s="20" t="s">
        <v>1739</v>
      </c>
      <c r="I7" s="20" t="s">
        <v>1740</v>
      </c>
      <c r="J7" s="22"/>
      <c r="K7" s="7" t="n">
        <v>0</v>
      </c>
      <c r="L7" s="23" t="s">
        <v>1741</v>
      </c>
      <c r="M7" s="6" t="s">
        <v>1742</v>
      </c>
    </row>
    <row r="8" customFormat="false" ht="37.5" hidden="false" customHeight="true" outlineLevel="0" collapsed="false">
      <c r="A8" s="11" t="s">
        <v>1743</v>
      </c>
      <c r="B8" s="11" t="s">
        <v>1726</v>
      </c>
      <c r="C8" s="24" t="s">
        <v>1744</v>
      </c>
      <c r="D8" s="11" t="s">
        <v>89</v>
      </c>
      <c r="E8" s="11" t="s">
        <v>769</v>
      </c>
      <c r="F8" s="28" t="s">
        <v>105</v>
      </c>
      <c r="G8" s="21" t="s">
        <v>16</v>
      </c>
      <c r="H8" s="24" t="s">
        <v>1745</v>
      </c>
      <c r="I8" s="24" t="s">
        <v>1746</v>
      </c>
      <c r="J8" s="25"/>
      <c r="K8" s="12" t="n">
        <v>0</v>
      </c>
      <c r="L8" s="26" t="s">
        <v>1747</v>
      </c>
      <c r="M8" s="11" t="s">
        <v>1748</v>
      </c>
    </row>
    <row r="10" customFormat="false" ht="21.75" hidden="false" customHeight="true" outlineLevel="0" collapsed="false">
      <c r="A10" s="19" t="s">
        <v>1749</v>
      </c>
      <c r="B10" s="19"/>
      <c r="C10" s="19"/>
      <c r="D10" s="19"/>
      <c r="E10" s="19"/>
      <c r="F10" s="19"/>
      <c r="G10" s="19"/>
      <c r="H10" s="19"/>
      <c r="I10" s="19"/>
      <c r="J10" s="19"/>
      <c r="K10" s="19"/>
      <c r="L10" s="19"/>
      <c r="M10" s="19"/>
    </row>
    <row r="11" customFormat="false" ht="37.5" hidden="false" customHeight="true" outlineLevel="0" collapsed="false">
      <c r="A11" s="6" t="s">
        <v>1750</v>
      </c>
      <c r="B11" s="6" t="s">
        <v>1751</v>
      </c>
      <c r="C11" s="20" t="s">
        <v>1752</v>
      </c>
      <c r="D11" s="6" t="s">
        <v>89</v>
      </c>
      <c r="E11" s="6" t="s">
        <v>798</v>
      </c>
      <c r="F11" s="27" t="s">
        <v>105</v>
      </c>
      <c r="G11" s="21" t="s">
        <v>16</v>
      </c>
      <c r="H11" s="20" t="s">
        <v>1753</v>
      </c>
      <c r="I11" s="20" t="s">
        <v>1754</v>
      </c>
      <c r="J11" s="22"/>
      <c r="K11" s="7" t="n">
        <v>0</v>
      </c>
      <c r="L11" s="23" t="s">
        <v>1755</v>
      </c>
      <c r="M11" s="6" t="s">
        <v>1756</v>
      </c>
    </row>
    <row r="12" customFormat="false" ht="37.5" hidden="false" customHeight="true" outlineLevel="0" collapsed="false">
      <c r="A12" s="11" t="s">
        <v>1757</v>
      </c>
      <c r="B12" s="11" t="s">
        <v>1751</v>
      </c>
      <c r="C12" s="24" t="s">
        <v>1758</v>
      </c>
      <c r="D12" s="11" t="s">
        <v>89</v>
      </c>
      <c r="E12" s="11" t="s">
        <v>825</v>
      </c>
      <c r="F12" s="11" t="s">
        <v>125</v>
      </c>
      <c r="G12" s="21" t="s">
        <v>16</v>
      </c>
      <c r="H12" s="24" t="s">
        <v>1759</v>
      </c>
      <c r="I12" s="24" t="s">
        <v>1617</v>
      </c>
      <c r="J12" s="25"/>
      <c r="K12" s="12" t="n">
        <v>0</v>
      </c>
      <c r="L12" s="26" t="s">
        <v>1760</v>
      </c>
      <c r="M12" s="11" t="s">
        <v>1761</v>
      </c>
    </row>
    <row r="13" customFormat="false" ht="37.5" hidden="false" customHeight="true" outlineLevel="0" collapsed="false">
      <c r="A13" s="6" t="s">
        <v>1762</v>
      </c>
      <c r="B13" s="6" t="s">
        <v>1751</v>
      </c>
      <c r="C13" s="20" t="s">
        <v>1763</v>
      </c>
      <c r="D13" s="6" t="s">
        <v>89</v>
      </c>
      <c r="E13" s="6" t="s">
        <v>1199</v>
      </c>
      <c r="F13" s="6" t="s">
        <v>125</v>
      </c>
      <c r="G13" s="21" t="s">
        <v>16</v>
      </c>
      <c r="H13" s="20" t="s">
        <v>1764</v>
      </c>
      <c r="I13" s="20" t="s">
        <v>1765</v>
      </c>
      <c r="J13" s="22"/>
      <c r="K13" s="7" t="n">
        <v>0</v>
      </c>
      <c r="L13" s="23" t="s">
        <v>1766</v>
      </c>
      <c r="M13" s="6" t="s">
        <v>1767</v>
      </c>
    </row>
    <row r="14" customFormat="false" ht="37.5" hidden="false" customHeight="true" outlineLevel="0" collapsed="false">
      <c r="A14" s="11" t="s">
        <v>1768</v>
      </c>
      <c r="B14" s="11" t="s">
        <v>1751</v>
      </c>
      <c r="C14" s="24" t="s">
        <v>1769</v>
      </c>
      <c r="D14" s="11" t="s">
        <v>89</v>
      </c>
      <c r="E14" s="11" t="s">
        <v>1299</v>
      </c>
      <c r="F14" s="11" t="s">
        <v>125</v>
      </c>
      <c r="G14" s="21" t="s">
        <v>16</v>
      </c>
      <c r="H14" s="24" t="s">
        <v>1770</v>
      </c>
      <c r="I14" s="24" t="s">
        <v>1771</v>
      </c>
      <c r="J14" s="25"/>
      <c r="K14" s="12" t="n">
        <v>0</v>
      </c>
      <c r="L14" s="26" t="s">
        <v>1772</v>
      </c>
      <c r="M14" s="11" t="s">
        <v>1773</v>
      </c>
    </row>
    <row r="16" customFormat="false" ht="21.75" hidden="false" customHeight="true" outlineLevel="0" collapsed="false">
      <c r="A16" s="19" t="s">
        <v>1774</v>
      </c>
      <c r="B16" s="19"/>
      <c r="C16" s="19"/>
      <c r="D16" s="19"/>
      <c r="E16" s="19"/>
      <c r="F16" s="19"/>
      <c r="G16" s="19"/>
      <c r="H16" s="19"/>
      <c r="I16" s="19"/>
      <c r="J16" s="19"/>
      <c r="K16" s="19"/>
      <c r="L16" s="19"/>
      <c r="M16" s="19"/>
    </row>
    <row r="17" customFormat="false" ht="37.5" hidden="false" customHeight="true" outlineLevel="0" collapsed="false">
      <c r="A17" s="6" t="s">
        <v>1775</v>
      </c>
      <c r="B17" s="6" t="s">
        <v>1776</v>
      </c>
      <c r="C17" s="20" t="s">
        <v>1777</v>
      </c>
      <c r="D17" s="6" t="s">
        <v>89</v>
      </c>
      <c r="E17" s="6" t="s">
        <v>832</v>
      </c>
      <c r="F17" s="6" t="s">
        <v>125</v>
      </c>
      <c r="G17" s="21" t="s">
        <v>16</v>
      </c>
      <c r="H17" s="20" t="s">
        <v>1778</v>
      </c>
      <c r="I17" s="20" t="s">
        <v>1779</v>
      </c>
      <c r="J17" s="22"/>
      <c r="K17" s="7" t="n">
        <v>0</v>
      </c>
      <c r="L17" s="23" t="s">
        <v>1780</v>
      </c>
      <c r="M17" s="6" t="s">
        <v>1781</v>
      </c>
    </row>
    <row r="18" customFormat="false" ht="37.5" hidden="false" customHeight="true" outlineLevel="0" collapsed="false">
      <c r="A18" s="11" t="s">
        <v>1782</v>
      </c>
      <c r="B18" s="11" t="s">
        <v>1776</v>
      </c>
      <c r="C18" s="24" t="s">
        <v>1783</v>
      </c>
      <c r="D18" s="11" t="s">
        <v>89</v>
      </c>
      <c r="E18" s="11" t="s">
        <v>832</v>
      </c>
      <c r="F18" s="28" t="s">
        <v>105</v>
      </c>
      <c r="G18" s="21" t="s">
        <v>16</v>
      </c>
      <c r="H18" s="24" t="s">
        <v>1784</v>
      </c>
      <c r="I18" s="24" t="s">
        <v>1785</v>
      </c>
      <c r="J18" s="25"/>
      <c r="K18" s="12" t="n">
        <v>0</v>
      </c>
      <c r="L18" s="26" t="s">
        <v>1786</v>
      </c>
      <c r="M18" s="11" t="s">
        <v>1787</v>
      </c>
    </row>
    <row r="19" customFormat="false" ht="37.5" hidden="false" customHeight="true" outlineLevel="0" collapsed="false">
      <c r="A19" s="6" t="s">
        <v>1788</v>
      </c>
      <c r="B19" s="6" t="s">
        <v>1776</v>
      </c>
      <c r="C19" s="20" t="s">
        <v>1789</v>
      </c>
      <c r="D19" s="6" t="s">
        <v>89</v>
      </c>
      <c r="E19" s="6" t="s">
        <v>1212</v>
      </c>
      <c r="F19" s="27" t="s">
        <v>105</v>
      </c>
      <c r="G19" s="21" t="s">
        <v>16</v>
      </c>
      <c r="H19" s="20" t="s">
        <v>1790</v>
      </c>
      <c r="I19" s="20" t="s">
        <v>1791</v>
      </c>
      <c r="J19" s="22"/>
      <c r="K19" s="7" t="n">
        <v>0</v>
      </c>
      <c r="L19" s="23" t="s">
        <v>1792</v>
      </c>
      <c r="M19" s="6" t="s">
        <v>1793</v>
      </c>
    </row>
    <row r="20" customFormat="false" ht="37.5" hidden="false" customHeight="true" outlineLevel="0" collapsed="false">
      <c r="A20" s="11" t="s">
        <v>1794</v>
      </c>
      <c r="B20" s="11" t="s">
        <v>1776</v>
      </c>
      <c r="C20" s="24" t="s">
        <v>1795</v>
      </c>
      <c r="D20" s="11" t="s">
        <v>89</v>
      </c>
      <c r="E20" s="11" t="s">
        <v>1347</v>
      </c>
      <c r="F20" s="11" t="s">
        <v>125</v>
      </c>
      <c r="G20" s="21" t="s">
        <v>16</v>
      </c>
      <c r="H20" s="24" t="s">
        <v>1796</v>
      </c>
      <c r="I20" s="24" t="s">
        <v>1797</v>
      </c>
      <c r="J20" s="25"/>
      <c r="K20" s="12" t="n">
        <v>0</v>
      </c>
      <c r="L20" s="26" t="s">
        <v>1798</v>
      </c>
      <c r="M20" s="11" t="s">
        <v>1501</v>
      </c>
    </row>
    <row r="22" customFormat="false" ht="21.75" hidden="false" customHeight="true" outlineLevel="0" collapsed="false">
      <c r="A22" s="19" t="s">
        <v>1799</v>
      </c>
      <c r="B22" s="19"/>
      <c r="C22" s="19"/>
      <c r="D22" s="19"/>
      <c r="E22" s="19"/>
      <c r="F22" s="19"/>
      <c r="G22" s="19"/>
      <c r="H22" s="19"/>
      <c r="I22" s="19"/>
      <c r="J22" s="19"/>
      <c r="K22" s="19"/>
      <c r="L22" s="19"/>
      <c r="M22" s="19"/>
    </row>
    <row r="23" customFormat="false" ht="37.5" hidden="false" customHeight="true" outlineLevel="0" collapsed="false">
      <c r="A23" s="6" t="s">
        <v>1800</v>
      </c>
      <c r="B23" s="6" t="s">
        <v>1801</v>
      </c>
      <c r="C23" s="20" t="s">
        <v>1802</v>
      </c>
      <c r="D23" s="6" t="s">
        <v>89</v>
      </c>
      <c r="E23" s="6" t="s">
        <v>1212</v>
      </c>
      <c r="F23" s="6" t="s">
        <v>125</v>
      </c>
      <c r="G23" s="21" t="s">
        <v>16</v>
      </c>
      <c r="H23" s="20" t="s">
        <v>1803</v>
      </c>
      <c r="I23" s="20" t="s">
        <v>1804</v>
      </c>
      <c r="J23" s="22"/>
      <c r="K23" s="7" t="n">
        <v>0</v>
      </c>
      <c r="L23" s="23" t="s">
        <v>1805</v>
      </c>
      <c r="M23" s="6" t="s">
        <v>1806</v>
      </c>
    </row>
    <row r="24" customFormat="false" ht="37.5" hidden="false" customHeight="true" outlineLevel="0" collapsed="false">
      <c r="A24" s="11" t="s">
        <v>1807</v>
      </c>
      <c r="B24" s="11" t="s">
        <v>1801</v>
      </c>
      <c r="C24" s="24" t="s">
        <v>1808</v>
      </c>
      <c r="D24" s="11" t="s">
        <v>89</v>
      </c>
      <c r="E24" s="11" t="s">
        <v>1354</v>
      </c>
      <c r="F24" s="11" t="s">
        <v>1543</v>
      </c>
      <c r="G24" s="21" t="s">
        <v>16</v>
      </c>
      <c r="H24" s="24" t="s">
        <v>1809</v>
      </c>
      <c r="I24" s="24" t="s">
        <v>1810</v>
      </c>
      <c r="J24" s="25"/>
      <c r="K24" s="12" t="n">
        <v>0</v>
      </c>
      <c r="L24" s="26" t="s">
        <v>1811</v>
      </c>
      <c r="M24" s="11" t="s">
        <v>1812</v>
      </c>
    </row>
    <row r="25" customFormat="false" ht="37.5" hidden="false" customHeight="true" outlineLevel="0" collapsed="false">
      <c r="A25" s="6" t="s">
        <v>1813</v>
      </c>
      <c r="B25" s="6" t="s">
        <v>1801</v>
      </c>
      <c r="C25" s="20" t="s">
        <v>1814</v>
      </c>
      <c r="D25" s="6" t="s">
        <v>89</v>
      </c>
      <c r="E25" s="6" t="s">
        <v>1354</v>
      </c>
      <c r="F25" s="6" t="s">
        <v>1543</v>
      </c>
      <c r="G25" s="21" t="s">
        <v>16</v>
      </c>
      <c r="H25" s="20" t="s">
        <v>1815</v>
      </c>
      <c r="I25" s="20" t="s">
        <v>1816</v>
      </c>
      <c r="J25" s="22"/>
      <c r="K25" s="7" t="n">
        <v>0</v>
      </c>
      <c r="L25" s="23" t="s">
        <v>1817</v>
      </c>
      <c r="M25" s="6" t="s">
        <v>1818</v>
      </c>
    </row>
    <row r="26" customFormat="false" ht="37.5" hidden="false" customHeight="true" outlineLevel="0" collapsed="false">
      <c r="A26" s="11" t="s">
        <v>1819</v>
      </c>
      <c r="B26" s="11" t="s">
        <v>1801</v>
      </c>
      <c r="C26" s="24" t="s">
        <v>1820</v>
      </c>
      <c r="D26" s="11" t="s">
        <v>89</v>
      </c>
      <c r="E26" s="11" t="s">
        <v>1354</v>
      </c>
      <c r="F26" s="11" t="s">
        <v>1543</v>
      </c>
      <c r="G26" s="21" t="s">
        <v>16</v>
      </c>
      <c r="H26" s="24" t="s">
        <v>1821</v>
      </c>
      <c r="I26" s="24" t="s">
        <v>1822</v>
      </c>
      <c r="J26" s="25"/>
      <c r="K26" s="12" t="n">
        <v>0</v>
      </c>
      <c r="L26" s="26" t="s">
        <v>1823</v>
      </c>
      <c r="M26" s="11" t="s">
        <v>1824</v>
      </c>
    </row>
  </sheetData>
  <mergeCells count="6">
    <mergeCell ref="A1:M1"/>
    <mergeCell ref="A2:M2"/>
    <mergeCell ref="A4:M4"/>
    <mergeCell ref="A10:M10"/>
    <mergeCell ref="A16:M16"/>
    <mergeCell ref="A22:M2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E5090"/>
    <pageSetUpPr fitToPage="false"/>
  </sheetPr>
  <dimension ref="A1:M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0"/>
    <col collapsed="false" customWidth="true" hidden="false" outlineLevel="0" max="3" min="3" style="0" width="55"/>
    <col collapsed="false" customWidth="true" hidden="false" outlineLevel="0" max="5" min="4" style="0" width="12"/>
    <col collapsed="false" customWidth="true" hidden="false" outlineLevel="0" max="6" min="6" style="0" width="10"/>
    <col collapsed="false" customWidth="true" hidden="false" outlineLevel="0" max="7" min="7" style="0" width="14"/>
    <col collapsed="false" customWidth="true" hidden="false" outlineLevel="0" max="8" min="8" style="0" width="28"/>
    <col collapsed="false" customWidth="true" hidden="false" outlineLevel="0" max="9" min="9" style="0" width="22"/>
    <col collapsed="false" customWidth="true" hidden="false" outlineLevel="0" max="10" min="10" style="0" width="18"/>
    <col collapsed="false" customWidth="true" hidden="false" outlineLevel="0" max="11" min="11" style="0" width="10"/>
    <col collapsed="false" customWidth="true" hidden="false" outlineLevel="0" max="12" min="12" style="0" width="50"/>
    <col collapsed="false" customWidth="true" hidden="false" outlineLevel="0" max="13" min="13" style="0" width="14"/>
  </cols>
  <sheetData>
    <row r="1" customFormat="false" ht="27.75" hidden="false" customHeight="true" outlineLevel="0" collapsed="false">
      <c r="A1" s="17" t="s">
        <v>1825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</row>
    <row r="2" customFormat="false" ht="21.75" hidden="false" customHeight="true" outlineLevel="0" collapsed="false">
      <c r="A2" s="18" t="s">
        <v>72</v>
      </c>
      <c r="B2" s="18"/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</row>
    <row r="3" customFormat="false" ht="24" hidden="false" customHeight="true" outlineLevel="0" collapsed="false">
      <c r="A3" s="3" t="s">
        <v>73</v>
      </c>
      <c r="B3" s="3" t="s">
        <v>74</v>
      </c>
      <c r="C3" s="3" t="s">
        <v>75</v>
      </c>
      <c r="D3" s="3" t="s">
        <v>76</v>
      </c>
      <c r="E3" s="3" t="s">
        <v>77</v>
      </c>
      <c r="F3" s="3" t="s">
        <v>78</v>
      </c>
      <c r="G3" s="3" t="s">
        <v>9</v>
      </c>
      <c r="H3" s="3" t="s">
        <v>79</v>
      </c>
      <c r="I3" s="3" t="s">
        <v>80</v>
      </c>
      <c r="J3" s="3" t="s">
        <v>81</v>
      </c>
      <c r="K3" s="3" t="s">
        <v>82</v>
      </c>
      <c r="L3" s="3" t="s">
        <v>83</v>
      </c>
      <c r="M3" s="3" t="s">
        <v>84</v>
      </c>
    </row>
    <row r="4" customFormat="false" ht="21.75" hidden="false" customHeight="true" outlineLevel="0" collapsed="false">
      <c r="A4" s="19" t="s">
        <v>1826</v>
      </c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</row>
    <row r="5" customFormat="false" ht="37.5" hidden="false" customHeight="true" outlineLevel="0" collapsed="false">
      <c r="A5" s="6" t="s">
        <v>1827</v>
      </c>
      <c r="B5" s="6" t="s">
        <v>1828</v>
      </c>
      <c r="C5" s="20" t="s">
        <v>1829</v>
      </c>
      <c r="D5" s="6" t="s">
        <v>89</v>
      </c>
      <c r="E5" s="6" t="s">
        <v>1830</v>
      </c>
      <c r="F5" s="27" t="s">
        <v>105</v>
      </c>
      <c r="G5" s="21" t="s">
        <v>16</v>
      </c>
      <c r="H5" s="20" t="s">
        <v>1831</v>
      </c>
      <c r="I5" s="20" t="s">
        <v>1832</v>
      </c>
      <c r="J5" s="22"/>
      <c r="K5" s="7" t="n">
        <v>0</v>
      </c>
      <c r="L5" s="23" t="s">
        <v>1833</v>
      </c>
      <c r="M5" s="6" t="s">
        <v>1834</v>
      </c>
    </row>
    <row r="6" customFormat="false" ht="37.5" hidden="false" customHeight="true" outlineLevel="0" collapsed="false">
      <c r="A6" s="11" t="s">
        <v>1835</v>
      </c>
      <c r="B6" s="11" t="s">
        <v>1828</v>
      </c>
      <c r="C6" s="24" t="s">
        <v>1836</v>
      </c>
      <c r="D6" s="11" t="s">
        <v>89</v>
      </c>
      <c r="E6" s="11" t="s">
        <v>1837</v>
      </c>
      <c r="F6" s="28" t="s">
        <v>105</v>
      </c>
      <c r="G6" s="21" t="s">
        <v>16</v>
      </c>
      <c r="H6" s="24" t="s">
        <v>1838</v>
      </c>
      <c r="I6" s="24" t="s">
        <v>1839</v>
      </c>
      <c r="J6" s="25"/>
      <c r="K6" s="12" t="n">
        <v>0</v>
      </c>
      <c r="L6" s="26" t="s">
        <v>1840</v>
      </c>
      <c r="M6" s="11" t="s">
        <v>1841</v>
      </c>
    </row>
    <row r="7" customFormat="false" ht="37.5" hidden="false" customHeight="true" outlineLevel="0" collapsed="false">
      <c r="A7" s="6" t="s">
        <v>1842</v>
      </c>
      <c r="B7" s="6" t="s">
        <v>1828</v>
      </c>
      <c r="C7" s="20" t="s">
        <v>1843</v>
      </c>
      <c r="D7" s="6" t="s">
        <v>89</v>
      </c>
      <c r="E7" s="6" t="s">
        <v>1844</v>
      </c>
      <c r="F7" s="6" t="s">
        <v>125</v>
      </c>
      <c r="G7" s="21" t="s">
        <v>16</v>
      </c>
      <c r="H7" s="20" t="s">
        <v>1845</v>
      </c>
      <c r="I7" s="20" t="s">
        <v>1846</v>
      </c>
      <c r="J7" s="22"/>
      <c r="K7" s="7" t="n">
        <v>0</v>
      </c>
      <c r="L7" s="23" t="s">
        <v>1847</v>
      </c>
      <c r="M7" s="6" t="s">
        <v>1848</v>
      </c>
    </row>
    <row r="8" customFormat="false" ht="37.5" hidden="false" customHeight="true" outlineLevel="0" collapsed="false">
      <c r="A8" s="11" t="s">
        <v>1849</v>
      </c>
      <c r="B8" s="11" t="s">
        <v>1828</v>
      </c>
      <c r="C8" s="24" t="s">
        <v>1850</v>
      </c>
      <c r="D8" s="11" t="s">
        <v>89</v>
      </c>
      <c r="E8" s="11" t="s">
        <v>1851</v>
      </c>
      <c r="F8" s="11" t="s">
        <v>125</v>
      </c>
      <c r="G8" s="21" t="s">
        <v>16</v>
      </c>
      <c r="H8" s="24" t="s">
        <v>1852</v>
      </c>
      <c r="I8" s="24" t="s">
        <v>1853</v>
      </c>
      <c r="J8" s="25"/>
      <c r="K8" s="12" t="n">
        <v>0</v>
      </c>
      <c r="L8" s="26" t="s">
        <v>1854</v>
      </c>
      <c r="M8" s="11" t="s">
        <v>1855</v>
      </c>
    </row>
    <row r="9" customFormat="false" ht="37.5" hidden="false" customHeight="true" outlineLevel="0" collapsed="false">
      <c r="A9" s="6" t="s">
        <v>1856</v>
      </c>
      <c r="B9" s="6" t="s">
        <v>1828</v>
      </c>
      <c r="C9" s="20" t="s">
        <v>1857</v>
      </c>
      <c r="D9" s="6" t="s">
        <v>89</v>
      </c>
      <c r="E9" s="6" t="s">
        <v>1858</v>
      </c>
      <c r="F9" s="6" t="s">
        <v>125</v>
      </c>
      <c r="G9" s="21" t="s">
        <v>16</v>
      </c>
      <c r="H9" s="20" t="s">
        <v>1859</v>
      </c>
      <c r="I9" s="20" t="s">
        <v>1860</v>
      </c>
      <c r="J9" s="22"/>
      <c r="K9" s="7" t="n">
        <v>0</v>
      </c>
      <c r="L9" s="23" t="s">
        <v>1861</v>
      </c>
      <c r="M9" s="6" t="s">
        <v>1862</v>
      </c>
    </row>
    <row r="11" customFormat="false" ht="21.75" hidden="false" customHeight="true" outlineLevel="0" collapsed="false">
      <c r="A11" s="19" t="s">
        <v>1863</v>
      </c>
      <c r="B11" s="19"/>
      <c r="C11" s="19"/>
      <c r="D11" s="19"/>
      <c r="E11" s="19"/>
      <c r="F11" s="19"/>
      <c r="G11" s="19"/>
      <c r="H11" s="19"/>
      <c r="I11" s="19"/>
      <c r="J11" s="19"/>
      <c r="K11" s="19"/>
      <c r="L11" s="19"/>
      <c r="M11" s="19"/>
    </row>
    <row r="12" customFormat="false" ht="37.5" hidden="false" customHeight="true" outlineLevel="0" collapsed="false">
      <c r="A12" s="6" t="s">
        <v>1864</v>
      </c>
      <c r="B12" s="6" t="s">
        <v>1865</v>
      </c>
      <c r="C12" s="20" t="s">
        <v>1866</v>
      </c>
      <c r="D12" s="6" t="s">
        <v>89</v>
      </c>
      <c r="E12" s="6" t="s">
        <v>1867</v>
      </c>
      <c r="F12" s="27" t="s">
        <v>105</v>
      </c>
      <c r="G12" s="21" t="s">
        <v>16</v>
      </c>
      <c r="H12" s="20" t="s">
        <v>1868</v>
      </c>
      <c r="I12" s="20" t="s">
        <v>1869</v>
      </c>
      <c r="J12" s="22"/>
      <c r="K12" s="7" t="n">
        <v>0</v>
      </c>
      <c r="L12" s="23" t="s">
        <v>1870</v>
      </c>
      <c r="M12" s="6" t="s">
        <v>1871</v>
      </c>
    </row>
    <row r="13" customFormat="false" ht="37.5" hidden="false" customHeight="true" outlineLevel="0" collapsed="false">
      <c r="A13" s="11" t="s">
        <v>1872</v>
      </c>
      <c r="B13" s="11" t="s">
        <v>1865</v>
      </c>
      <c r="C13" s="24" t="s">
        <v>1873</v>
      </c>
      <c r="D13" s="11" t="s">
        <v>89</v>
      </c>
      <c r="E13" s="11" t="s">
        <v>1874</v>
      </c>
      <c r="F13" s="11" t="s">
        <v>125</v>
      </c>
      <c r="G13" s="21" t="s">
        <v>16</v>
      </c>
      <c r="H13" s="24" t="s">
        <v>1875</v>
      </c>
      <c r="I13" s="24" t="s">
        <v>1876</v>
      </c>
      <c r="J13" s="25"/>
      <c r="K13" s="12" t="n">
        <v>0</v>
      </c>
      <c r="L13" s="26" t="s">
        <v>1877</v>
      </c>
      <c r="M13" s="11" t="s">
        <v>1878</v>
      </c>
    </row>
    <row r="14" customFormat="false" ht="37.5" hidden="false" customHeight="true" outlineLevel="0" collapsed="false">
      <c r="A14" s="6" t="s">
        <v>1879</v>
      </c>
      <c r="B14" s="6" t="s">
        <v>1865</v>
      </c>
      <c r="C14" s="20" t="s">
        <v>1880</v>
      </c>
      <c r="D14" s="6" t="s">
        <v>89</v>
      </c>
      <c r="E14" s="6" t="s">
        <v>1881</v>
      </c>
      <c r="F14" s="6" t="s">
        <v>125</v>
      </c>
      <c r="G14" s="21" t="s">
        <v>16</v>
      </c>
      <c r="H14" s="20" t="s">
        <v>1882</v>
      </c>
      <c r="I14" s="20" t="s">
        <v>1883</v>
      </c>
      <c r="J14" s="22"/>
      <c r="K14" s="7" t="n">
        <v>0</v>
      </c>
      <c r="L14" s="23" t="s">
        <v>1884</v>
      </c>
      <c r="M14" s="6" t="s">
        <v>1885</v>
      </c>
    </row>
    <row r="15" customFormat="false" ht="37.5" hidden="false" customHeight="true" outlineLevel="0" collapsed="false">
      <c r="A15" s="11" t="s">
        <v>1886</v>
      </c>
      <c r="B15" s="11" t="s">
        <v>1865</v>
      </c>
      <c r="C15" s="24" t="s">
        <v>1887</v>
      </c>
      <c r="D15" s="11" t="s">
        <v>89</v>
      </c>
      <c r="E15" s="11" t="s">
        <v>1844</v>
      </c>
      <c r="F15" s="11" t="s">
        <v>125</v>
      </c>
      <c r="G15" s="21" t="s">
        <v>16</v>
      </c>
      <c r="H15" s="24" t="s">
        <v>1888</v>
      </c>
      <c r="I15" s="24" t="s">
        <v>1889</v>
      </c>
      <c r="J15" s="25"/>
      <c r="K15" s="12" t="n">
        <v>0</v>
      </c>
      <c r="L15" s="26" t="s">
        <v>1890</v>
      </c>
      <c r="M15" s="11" t="s">
        <v>1891</v>
      </c>
    </row>
    <row r="16" customFormat="false" ht="37.5" hidden="false" customHeight="true" outlineLevel="0" collapsed="false">
      <c r="A16" s="6" t="s">
        <v>1892</v>
      </c>
      <c r="B16" s="6" t="s">
        <v>1865</v>
      </c>
      <c r="C16" s="20" t="s">
        <v>1893</v>
      </c>
      <c r="D16" s="6" t="s">
        <v>89</v>
      </c>
      <c r="E16" s="6" t="s">
        <v>1894</v>
      </c>
      <c r="F16" s="6" t="s">
        <v>1543</v>
      </c>
      <c r="G16" s="21" t="s">
        <v>16</v>
      </c>
      <c r="H16" s="20" t="s">
        <v>1895</v>
      </c>
      <c r="I16" s="20" t="s">
        <v>1816</v>
      </c>
      <c r="J16" s="22"/>
      <c r="K16" s="7" t="n">
        <v>0</v>
      </c>
      <c r="L16" s="23" t="s">
        <v>1896</v>
      </c>
      <c r="M16" s="6" t="s">
        <v>1897</v>
      </c>
    </row>
    <row r="18" customFormat="false" ht="21.75" hidden="false" customHeight="true" outlineLevel="0" collapsed="false">
      <c r="A18" s="19" t="s">
        <v>1898</v>
      </c>
      <c r="B18" s="19"/>
      <c r="C18" s="19"/>
      <c r="D18" s="19"/>
      <c r="E18" s="19"/>
      <c r="F18" s="19"/>
      <c r="G18" s="19"/>
      <c r="H18" s="19"/>
      <c r="I18" s="19"/>
      <c r="J18" s="19"/>
      <c r="K18" s="19"/>
      <c r="L18" s="19"/>
      <c r="M18" s="19"/>
    </row>
    <row r="19" customFormat="false" ht="37.5" hidden="false" customHeight="true" outlineLevel="0" collapsed="false">
      <c r="A19" s="6" t="s">
        <v>1899</v>
      </c>
      <c r="B19" s="6" t="s">
        <v>1900</v>
      </c>
      <c r="C19" s="20" t="s">
        <v>1901</v>
      </c>
      <c r="D19" s="6" t="s">
        <v>89</v>
      </c>
      <c r="E19" s="6" t="s">
        <v>1881</v>
      </c>
      <c r="F19" s="6" t="s">
        <v>125</v>
      </c>
      <c r="G19" s="21" t="s">
        <v>16</v>
      </c>
      <c r="H19" s="20" t="s">
        <v>1902</v>
      </c>
      <c r="I19" s="20" t="s">
        <v>1903</v>
      </c>
      <c r="J19" s="22"/>
      <c r="K19" s="7" t="n">
        <v>0</v>
      </c>
      <c r="L19" s="23" t="s">
        <v>1904</v>
      </c>
      <c r="M19" s="6" t="s">
        <v>1905</v>
      </c>
    </row>
    <row r="20" customFormat="false" ht="37.5" hidden="false" customHeight="true" outlineLevel="0" collapsed="false">
      <c r="A20" s="11" t="s">
        <v>1906</v>
      </c>
      <c r="B20" s="11" t="s">
        <v>1900</v>
      </c>
      <c r="C20" s="24" t="s">
        <v>1907</v>
      </c>
      <c r="D20" s="11" t="s">
        <v>89</v>
      </c>
      <c r="E20" s="11" t="s">
        <v>1894</v>
      </c>
      <c r="F20" s="11" t="s">
        <v>125</v>
      </c>
      <c r="G20" s="21" t="s">
        <v>16</v>
      </c>
      <c r="H20" s="24" t="s">
        <v>1908</v>
      </c>
      <c r="I20" s="24" t="s">
        <v>1909</v>
      </c>
      <c r="J20" s="25"/>
      <c r="K20" s="12" t="n">
        <v>0</v>
      </c>
      <c r="L20" s="26" t="s">
        <v>1910</v>
      </c>
      <c r="M20" s="11" t="s">
        <v>1911</v>
      </c>
    </row>
    <row r="21" customFormat="false" ht="37.5" hidden="false" customHeight="true" outlineLevel="0" collapsed="false">
      <c r="A21" s="6" t="s">
        <v>1912</v>
      </c>
      <c r="B21" s="6" t="s">
        <v>1900</v>
      </c>
      <c r="C21" s="20" t="s">
        <v>1913</v>
      </c>
      <c r="D21" s="6" t="s">
        <v>89</v>
      </c>
      <c r="E21" s="6" t="s">
        <v>1914</v>
      </c>
      <c r="F21" s="6" t="s">
        <v>1543</v>
      </c>
      <c r="G21" s="21" t="s">
        <v>16</v>
      </c>
      <c r="H21" s="20" t="s">
        <v>1915</v>
      </c>
      <c r="I21" s="20" t="s">
        <v>1771</v>
      </c>
      <c r="J21" s="22"/>
      <c r="K21" s="7" t="n">
        <v>0</v>
      </c>
      <c r="L21" s="23" t="s">
        <v>1916</v>
      </c>
      <c r="M21" s="6" t="s">
        <v>1773</v>
      </c>
    </row>
    <row r="22" customFormat="false" ht="37.5" hidden="false" customHeight="true" outlineLevel="0" collapsed="false">
      <c r="A22" s="11" t="s">
        <v>1917</v>
      </c>
      <c r="B22" s="11" t="s">
        <v>1900</v>
      </c>
      <c r="C22" s="24" t="s">
        <v>1918</v>
      </c>
      <c r="D22" s="11" t="s">
        <v>89</v>
      </c>
      <c r="E22" s="11" t="s">
        <v>1919</v>
      </c>
      <c r="F22" s="11" t="s">
        <v>1543</v>
      </c>
      <c r="G22" s="21" t="s">
        <v>16</v>
      </c>
      <c r="H22" s="24" t="s">
        <v>1920</v>
      </c>
      <c r="I22" s="24" t="s">
        <v>1816</v>
      </c>
      <c r="J22" s="25"/>
      <c r="K22" s="12" t="n">
        <v>0</v>
      </c>
      <c r="L22" s="26" t="s">
        <v>1921</v>
      </c>
      <c r="M22" s="11" t="s">
        <v>1922</v>
      </c>
    </row>
    <row r="24" customFormat="false" ht="21.75" hidden="false" customHeight="true" outlineLevel="0" collapsed="false">
      <c r="A24" s="19" t="s">
        <v>1923</v>
      </c>
      <c r="B24" s="19"/>
      <c r="C24" s="19"/>
      <c r="D24" s="19"/>
      <c r="E24" s="19"/>
      <c r="F24" s="19"/>
      <c r="G24" s="19"/>
      <c r="H24" s="19"/>
      <c r="I24" s="19"/>
      <c r="J24" s="19"/>
      <c r="K24" s="19"/>
      <c r="L24" s="19"/>
      <c r="M24" s="19"/>
    </row>
    <row r="25" customFormat="false" ht="37.5" hidden="false" customHeight="true" outlineLevel="0" collapsed="false">
      <c r="A25" s="6" t="s">
        <v>1924</v>
      </c>
      <c r="B25" s="6" t="s">
        <v>1925</v>
      </c>
      <c r="C25" s="20" t="s">
        <v>1926</v>
      </c>
      <c r="D25" s="6" t="s">
        <v>89</v>
      </c>
      <c r="E25" s="6" t="s">
        <v>1881</v>
      </c>
      <c r="F25" s="6" t="s">
        <v>125</v>
      </c>
      <c r="G25" s="21" t="s">
        <v>16</v>
      </c>
      <c r="H25" s="20" t="s">
        <v>1927</v>
      </c>
      <c r="I25" s="20" t="s">
        <v>1928</v>
      </c>
      <c r="J25" s="22"/>
      <c r="K25" s="7" t="n">
        <v>0</v>
      </c>
      <c r="L25" s="23" t="s">
        <v>1929</v>
      </c>
      <c r="M25" s="6" t="s">
        <v>1930</v>
      </c>
    </row>
    <row r="26" customFormat="false" ht="37.5" hidden="false" customHeight="true" outlineLevel="0" collapsed="false">
      <c r="A26" s="11" t="s">
        <v>1931</v>
      </c>
      <c r="B26" s="11" t="s">
        <v>1925</v>
      </c>
      <c r="C26" s="24" t="s">
        <v>1932</v>
      </c>
      <c r="D26" s="11" t="s">
        <v>89</v>
      </c>
      <c r="E26" s="11" t="s">
        <v>1894</v>
      </c>
      <c r="F26" s="11" t="s">
        <v>125</v>
      </c>
      <c r="G26" s="21" t="s">
        <v>16</v>
      </c>
      <c r="H26" s="24" t="s">
        <v>1933</v>
      </c>
      <c r="I26" s="24" t="s">
        <v>1934</v>
      </c>
      <c r="J26" s="25"/>
      <c r="K26" s="12" t="n">
        <v>0</v>
      </c>
      <c r="L26" s="26" t="s">
        <v>1935</v>
      </c>
      <c r="M26" s="11" t="s">
        <v>1936</v>
      </c>
    </row>
    <row r="27" customFormat="false" ht="37.5" hidden="false" customHeight="true" outlineLevel="0" collapsed="false">
      <c r="A27" s="6" t="s">
        <v>1937</v>
      </c>
      <c r="B27" s="6" t="s">
        <v>1925</v>
      </c>
      <c r="C27" s="20" t="s">
        <v>1938</v>
      </c>
      <c r="D27" s="6" t="s">
        <v>89</v>
      </c>
      <c r="E27" s="6" t="s">
        <v>1914</v>
      </c>
      <c r="F27" s="6" t="s">
        <v>125</v>
      </c>
      <c r="G27" s="21" t="s">
        <v>16</v>
      </c>
      <c r="H27" s="20" t="s">
        <v>1939</v>
      </c>
      <c r="I27" s="20" t="s">
        <v>1940</v>
      </c>
      <c r="J27" s="22"/>
      <c r="K27" s="7" t="n">
        <v>0</v>
      </c>
      <c r="L27" s="23" t="s">
        <v>1941</v>
      </c>
      <c r="M27" s="6" t="s">
        <v>1773</v>
      </c>
    </row>
    <row r="28" customFormat="false" ht="37.5" hidden="false" customHeight="true" outlineLevel="0" collapsed="false">
      <c r="A28" s="11" t="s">
        <v>1942</v>
      </c>
      <c r="B28" s="11" t="s">
        <v>1925</v>
      </c>
      <c r="C28" s="24" t="s">
        <v>1943</v>
      </c>
      <c r="D28" s="11" t="s">
        <v>89</v>
      </c>
      <c r="E28" s="11" t="s">
        <v>1944</v>
      </c>
      <c r="F28" s="11" t="s">
        <v>125</v>
      </c>
      <c r="G28" s="21" t="s">
        <v>16</v>
      </c>
      <c r="H28" s="24" t="s">
        <v>1945</v>
      </c>
      <c r="I28" s="24" t="s">
        <v>1946</v>
      </c>
      <c r="J28" s="25"/>
      <c r="K28" s="12" t="n">
        <v>0</v>
      </c>
      <c r="L28" s="26" t="s">
        <v>1947</v>
      </c>
      <c r="M28" s="11" t="s">
        <v>1948</v>
      </c>
    </row>
  </sheetData>
  <mergeCells count="6">
    <mergeCell ref="A1:M1"/>
    <mergeCell ref="A2:M2"/>
    <mergeCell ref="A4:M4"/>
    <mergeCell ref="A11:M11"/>
    <mergeCell ref="A18:M18"/>
    <mergeCell ref="A24:M2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E5090"/>
    <pageSetUpPr fitToPage="false"/>
  </sheetPr>
  <dimension ref="A1:M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0"/>
    <col collapsed="false" customWidth="true" hidden="false" outlineLevel="0" max="3" min="3" style="0" width="55"/>
    <col collapsed="false" customWidth="true" hidden="false" outlineLevel="0" max="5" min="4" style="0" width="12"/>
    <col collapsed="false" customWidth="true" hidden="false" outlineLevel="0" max="6" min="6" style="0" width="10"/>
    <col collapsed="false" customWidth="true" hidden="false" outlineLevel="0" max="7" min="7" style="0" width="14"/>
    <col collapsed="false" customWidth="true" hidden="false" outlineLevel="0" max="8" min="8" style="0" width="28"/>
    <col collapsed="false" customWidth="true" hidden="false" outlineLevel="0" max="9" min="9" style="0" width="22"/>
    <col collapsed="false" customWidth="true" hidden="false" outlineLevel="0" max="10" min="10" style="0" width="18"/>
    <col collapsed="false" customWidth="true" hidden="false" outlineLevel="0" max="11" min="11" style="0" width="10"/>
    <col collapsed="false" customWidth="true" hidden="false" outlineLevel="0" max="12" min="12" style="0" width="50"/>
    <col collapsed="false" customWidth="true" hidden="false" outlineLevel="0" max="13" min="13" style="0" width="14"/>
  </cols>
  <sheetData>
    <row r="1" customFormat="false" ht="27.75" hidden="false" customHeight="true" outlineLevel="0" collapsed="false">
      <c r="A1" s="17" t="s">
        <v>1949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</row>
    <row r="2" customFormat="false" ht="21.75" hidden="false" customHeight="true" outlineLevel="0" collapsed="false">
      <c r="A2" s="18" t="s">
        <v>72</v>
      </c>
      <c r="B2" s="18"/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</row>
    <row r="3" customFormat="false" ht="24" hidden="false" customHeight="true" outlineLevel="0" collapsed="false">
      <c r="A3" s="3" t="s">
        <v>73</v>
      </c>
      <c r="B3" s="3" t="s">
        <v>74</v>
      </c>
      <c r="C3" s="3" t="s">
        <v>75</v>
      </c>
      <c r="D3" s="3" t="s">
        <v>76</v>
      </c>
      <c r="E3" s="3" t="s">
        <v>77</v>
      </c>
      <c r="F3" s="3" t="s">
        <v>78</v>
      </c>
      <c r="G3" s="3" t="s">
        <v>9</v>
      </c>
      <c r="H3" s="3" t="s">
        <v>79</v>
      </c>
      <c r="I3" s="3" t="s">
        <v>80</v>
      </c>
      <c r="J3" s="3" t="s">
        <v>81</v>
      </c>
      <c r="K3" s="3" t="s">
        <v>82</v>
      </c>
      <c r="L3" s="3" t="s">
        <v>83</v>
      </c>
      <c r="M3" s="3" t="s">
        <v>84</v>
      </c>
    </row>
    <row r="4" customFormat="false" ht="21.75" hidden="false" customHeight="true" outlineLevel="0" collapsed="false">
      <c r="A4" s="19" t="s">
        <v>1950</v>
      </c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</row>
    <row r="5" customFormat="false" ht="37.5" hidden="false" customHeight="true" outlineLevel="0" collapsed="false">
      <c r="A5" s="6" t="s">
        <v>1951</v>
      </c>
      <c r="B5" s="6" t="s">
        <v>1952</v>
      </c>
      <c r="C5" s="20" t="s">
        <v>1953</v>
      </c>
      <c r="D5" s="6" t="s">
        <v>89</v>
      </c>
      <c r="E5" s="6" t="s">
        <v>1954</v>
      </c>
      <c r="F5" s="6" t="s">
        <v>125</v>
      </c>
      <c r="G5" s="21" t="s">
        <v>16</v>
      </c>
      <c r="H5" s="20" t="s">
        <v>1955</v>
      </c>
      <c r="I5" s="20" t="s">
        <v>1956</v>
      </c>
      <c r="J5" s="22"/>
      <c r="K5" s="7" t="n">
        <v>0</v>
      </c>
      <c r="L5" s="23" t="s">
        <v>1957</v>
      </c>
      <c r="M5" s="6" t="s">
        <v>1958</v>
      </c>
    </row>
    <row r="6" customFormat="false" ht="37.5" hidden="false" customHeight="true" outlineLevel="0" collapsed="false">
      <c r="A6" s="11" t="s">
        <v>1959</v>
      </c>
      <c r="B6" s="11" t="s">
        <v>1952</v>
      </c>
      <c r="C6" s="24" t="s">
        <v>1960</v>
      </c>
      <c r="D6" s="11" t="s">
        <v>89</v>
      </c>
      <c r="E6" s="11" t="s">
        <v>1961</v>
      </c>
      <c r="F6" s="11" t="s">
        <v>125</v>
      </c>
      <c r="G6" s="21" t="s">
        <v>16</v>
      </c>
      <c r="H6" s="24" t="s">
        <v>1962</v>
      </c>
      <c r="I6" s="24" t="s">
        <v>1963</v>
      </c>
      <c r="J6" s="25"/>
      <c r="K6" s="12" t="n">
        <v>0</v>
      </c>
      <c r="L6" s="26" t="s">
        <v>1964</v>
      </c>
      <c r="M6" s="11" t="s">
        <v>1965</v>
      </c>
    </row>
    <row r="7" customFormat="false" ht="37.5" hidden="false" customHeight="true" outlineLevel="0" collapsed="false">
      <c r="A7" s="6" t="s">
        <v>1966</v>
      </c>
      <c r="B7" s="6" t="s">
        <v>1952</v>
      </c>
      <c r="C7" s="20" t="s">
        <v>1967</v>
      </c>
      <c r="D7" s="6" t="s">
        <v>89</v>
      </c>
      <c r="E7" s="6" t="s">
        <v>1968</v>
      </c>
      <c r="F7" s="6" t="s">
        <v>1543</v>
      </c>
      <c r="G7" s="21" t="s">
        <v>16</v>
      </c>
      <c r="H7" s="20" t="s">
        <v>1969</v>
      </c>
      <c r="I7" s="20" t="s">
        <v>1970</v>
      </c>
      <c r="J7" s="22"/>
      <c r="K7" s="7" t="n">
        <v>0</v>
      </c>
      <c r="L7" s="23" t="s">
        <v>1971</v>
      </c>
      <c r="M7" s="6" t="s">
        <v>1972</v>
      </c>
    </row>
    <row r="8" customFormat="false" ht="37.5" hidden="false" customHeight="true" outlineLevel="0" collapsed="false">
      <c r="A8" s="11" t="s">
        <v>1973</v>
      </c>
      <c r="B8" s="11" t="s">
        <v>1952</v>
      </c>
      <c r="C8" s="24" t="s">
        <v>1974</v>
      </c>
      <c r="D8" s="11" t="s">
        <v>89</v>
      </c>
      <c r="E8" s="11" t="s">
        <v>1975</v>
      </c>
      <c r="F8" s="11" t="s">
        <v>1543</v>
      </c>
      <c r="G8" s="21" t="s">
        <v>16</v>
      </c>
      <c r="H8" s="24" t="s">
        <v>1976</v>
      </c>
      <c r="I8" s="24" t="s">
        <v>1201</v>
      </c>
      <c r="J8" s="25"/>
      <c r="K8" s="12" t="n">
        <v>0</v>
      </c>
      <c r="L8" s="26" t="s">
        <v>1977</v>
      </c>
      <c r="M8" s="11" t="s">
        <v>1978</v>
      </c>
    </row>
    <row r="10" customFormat="false" ht="21.75" hidden="false" customHeight="true" outlineLevel="0" collapsed="false">
      <c r="A10" s="19" t="s">
        <v>1979</v>
      </c>
      <c r="B10" s="19"/>
      <c r="C10" s="19"/>
      <c r="D10" s="19"/>
      <c r="E10" s="19"/>
      <c r="F10" s="19"/>
      <c r="G10" s="19"/>
      <c r="H10" s="19"/>
      <c r="I10" s="19"/>
      <c r="J10" s="19"/>
      <c r="K10" s="19"/>
      <c r="L10" s="19"/>
      <c r="M10" s="19"/>
    </row>
    <row r="11" customFormat="false" ht="37.5" hidden="false" customHeight="true" outlineLevel="0" collapsed="false">
      <c r="A11" s="6" t="s">
        <v>1980</v>
      </c>
      <c r="B11" s="6" t="s">
        <v>1981</v>
      </c>
      <c r="C11" s="20" t="s">
        <v>1982</v>
      </c>
      <c r="D11" s="6" t="s">
        <v>89</v>
      </c>
      <c r="E11" s="6" t="s">
        <v>1601</v>
      </c>
      <c r="F11" s="6" t="s">
        <v>125</v>
      </c>
      <c r="G11" s="21" t="s">
        <v>16</v>
      </c>
      <c r="H11" s="20" t="s">
        <v>1983</v>
      </c>
      <c r="I11" s="20" t="s">
        <v>1984</v>
      </c>
      <c r="J11" s="22"/>
      <c r="K11" s="7" t="n">
        <v>0</v>
      </c>
      <c r="L11" s="23" t="s">
        <v>1985</v>
      </c>
      <c r="M11" s="6" t="s">
        <v>1986</v>
      </c>
    </row>
    <row r="12" customFormat="false" ht="37.5" hidden="false" customHeight="true" outlineLevel="0" collapsed="false">
      <c r="A12" s="11" t="s">
        <v>1987</v>
      </c>
      <c r="B12" s="11" t="s">
        <v>1981</v>
      </c>
      <c r="C12" s="24" t="s">
        <v>1988</v>
      </c>
      <c r="D12" s="11" t="s">
        <v>89</v>
      </c>
      <c r="E12" s="11" t="s">
        <v>1989</v>
      </c>
      <c r="F12" s="11" t="s">
        <v>125</v>
      </c>
      <c r="G12" s="21" t="s">
        <v>16</v>
      </c>
      <c r="H12" s="24" t="s">
        <v>1990</v>
      </c>
      <c r="I12" s="24" t="s">
        <v>1991</v>
      </c>
      <c r="J12" s="25"/>
      <c r="K12" s="12" t="n">
        <v>0</v>
      </c>
      <c r="L12" s="26" t="s">
        <v>1992</v>
      </c>
      <c r="M12" s="11" t="s">
        <v>1993</v>
      </c>
    </row>
    <row r="13" customFormat="false" ht="37.5" hidden="false" customHeight="true" outlineLevel="0" collapsed="false">
      <c r="A13" s="6" t="s">
        <v>1994</v>
      </c>
      <c r="B13" s="6" t="s">
        <v>1981</v>
      </c>
      <c r="C13" s="20" t="s">
        <v>1995</v>
      </c>
      <c r="D13" s="6" t="s">
        <v>89</v>
      </c>
      <c r="E13" s="6" t="s">
        <v>1996</v>
      </c>
      <c r="F13" s="6" t="s">
        <v>125</v>
      </c>
      <c r="G13" s="21" t="s">
        <v>16</v>
      </c>
      <c r="H13" s="20" t="s">
        <v>1997</v>
      </c>
      <c r="I13" s="20" t="s">
        <v>1998</v>
      </c>
      <c r="J13" s="22"/>
      <c r="K13" s="7" t="n">
        <v>0</v>
      </c>
      <c r="L13" s="23" t="s">
        <v>1999</v>
      </c>
      <c r="M13" s="6" t="s">
        <v>2000</v>
      </c>
    </row>
    <row r="14" customFormat="false" ht="37.5" hidden="false" customHeight="true" outlineLevel="0" collapsed="false">
      <c r="A14" s="11" t="s">
        <v>2001</v>
      </c>
      <c r="B14" s="11" t="s">
        <v>1981</v>
      </c>
      <c r="C14" s="24" t="s">
        <v>2002</v>
      </c>
      <c r="D14" s="11" t="s">
        <v>89</v>
      </c>
      <c r="E14" s="11" t="s">
        <v>2003</v>
      </c>
      <c r="F14" s="11" t="s">
        <v>1543</v>
      </c>
      <c r="G14" s="21" t="s">
        <v>16</v>
      </c>
      <c r="H14" s="24" t="s">
        <v>2004</v>
      </c>
      <c r="I14" s="24" t="s">
        <v>2005</v>
      </c>
      <c r="J14" s="25"/>
      <c r="K14" s="12" t="n">
        <v>0</v>
      </c>
      <c r="L14" s="26" t="s">
        <v>2006</v>
      </c>
      <c r="M14" s="11" t="s">
        <v>2007</v>
      </c>
    </row>
    <row r="16" customFormat="false" ht="21.75" hidden="false" customHeight="true" outlineLevel="0" collapsed="false">
      <c r="A16" s="19" t="s">
        <v>2008</v>
      </c>
      <c r="B16" s="19"/>
      <c r="C16" s="19"/>
      <c r="D16" s="19"/>
      <c r="E16" s="19"/>
      <c r="F16" s="19"/>
      <c r="G16" s="19"/>
      <c r="H16" s="19"/>
      <c r="I16" s="19"/>
      <c r="J16" s="19"/>
      <c r="K16" s="19"/>
      <c r="L16" s="19"/>
      <c r="M16" s="19"/>
    </row>
    <row r="17" customFormat="false" ht="37.5" hidden="false" customHeight="true" outlineLevel="0" collapsed="false">
      <c r="A17" s="6" t="s">
        <v>2009</v>
      </c>
      <c r="B17" s="6" t="s">
        <v>2010</v>
      </c>
      <c r="C17" s="20" t="s">
        <v>2011</v>
      </c>
      <c r="D17" s="6" t="s">
        <v>89</v>
      </c>
      <c r="E17" s="6" t="s">
        <v>1830</v>
      </c>
      <c r="F17" s="6" t="s">
        <v>125</v>
      </c>
      <c r="G17" s="21" t="s">
        <v>16</v>
      </c>
      <c r="H17" s="20" t="s">
        <v>2012</v>
      </c>
      <c r="I17" s="20" t="s">
        <v>2013</v>
      </c>
      <c r="J17" s="22"/>
      <c r="K17" s="7" t="n">
        <v>0</v>
      </c>
      <c r="L17" s="23" t="s">
        <v>2014</v>
      </c>
      <c r="M17" s="6" t="s">
        <v>2015</v>
      </c>
    </row>
    <row r="18" customFormat="false" ht="37.5" hidden="false" customHeight="true" outlineLevel="0" collapsed="false">
      <c r="A18" s="11" t="s">
        <v>2016</v>
      </c>
      <c r="B18" s="11" t="s">
        <v>2010</v>
      </c>
      <c r="C18" s="24" t="s">
        <v>2017</v>
      </c>
      <c r="D18" s="11" t="s">
        <v>89</v>
      </c>
      <c r="E18" s="11" t="s">
        <v>1830</v>
      </c>
      <c r="F18" s="11" t="s">
        <v>125</v>
      </c>
      <c r="G18" s="21" t="s">
        <v>16</v>
      </c>
      <c r="H18" s="24" t="s">
        <v>2018</v>
      </c>
      <c r="I18" s="24" t="s">
        <v>2019</v>
      </c>
      <c r="J18" s="25"/>
      <c r="K18" s="12" t="n">
        <v>0</v>
      </c>
      <c r="L18" s="26" t="s">
        <v>2020</v>
      </c>
      <c r="M18" s="11" t="s">
        <v>2021</v>
      </c>
    </row>
    <row r="19" customFormat="false" ht="37.5" hidden="false" customHeight="true" outlineLevel="0" collapsed="false">
      <c r="A19" s="6" t="s">
        <v>2022</v>
      </c>
      <c r="B19" s="6" t="s">
        <v>2010</v>
      </c>
      <c r="C19" s="20" t="s">
        <v>2023</v>
      </c>
      <c r="D19" s="6" t="s">
        <v>89</v>
      </c>
      <c r="E19" s="6" t="s">
        <v>2024</v>
      </c>
      <c r="F19" s="6" t="s">
        <v>125</v>
      </c>
      <c r="G19" s="21" t="s">
        <v>16</v>
      </c>
      <c r="H19" s="20" t="s">
        <v>2025</v>
      </c>
      <c r="I19" s="20" t="s">
        <v>2026</v>
      </c>
      <c r="J19" s="22"/>
      <c r="K19" s="7" t="n">
        <v>0</v>
      </c>
      <c r="L19" s="23" t="s">
        <v>2027</v>
      </c>
      <c r="M19" s="6" t="s">
        <v>2028</v>
      </c>
    </row>
    <row r="20" customFormat="false" ht="37.5" hidden="false" customHeight="true" outlineLevel="0" collapsed="false">
      <c r="A20" s="11" t="s">
        <v>2029</v>
      </c>
      <c r="B20" s="11" t="s">
        <v>2010</v>
      </c>
      <c r="C20" s="24" t="s">
        <v>2030</v>
      </c>
      <c r="D20" s="11" t="s">
        <v>89</v>
      </c>
      <c r="E20" s="11" t="s">
        <v>1661</v>
      </c>
      <c r="F20" s="11" t="s">
        <v>1543</v>
      </c>
      <c r="G20" s="21" t="s">
        <v>16</v>
      </c>
      <c r="H20" s="24" t="s">
        <v>2031</v>
      </c>
      <c r="I20" s="24" t="s">
        <v>2032</v>
      </c>
      <c r="J20" s="25"/>
      <c r="K20" s="12" t="n">
        <v>0</v>
      </c>
      <c r="L20" s="26" t="s">
        <v>2033</v>
      </c>
      <c r="M20" s="11" t="s">
        <v>2034</v>
      </c>
    </row>
  </sheetData>
  <mergeCells count="5">
    <mergeCell ref="A1:M1"/>
    <mergeCell ref="A2:M2"/>
    <mergeCell ref="A4:M4"/>
    <mergeCell ref="A10:M10"/>
    <mergeCell ref="A16:M1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E7D32"/>
    <pageSetUpPr fitToPage="false"/>
  </sheetPr>
  <dimension ref="A1:H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45"/>
    <col collapsed="false" customWidth="true" hidden="false" outlineLevel="0" max="6" min="3" style="0" width="12"/>
    <col collapsed="false" customWidth="true" hidden="false" outlineLevel="0" max="7" min="7" style="0" width="14"/>
    <col collapsed="false" customWidth="true" hidden="false" outlineLevel="0" max="8" min="8" style="0" width="35"/>
  </cols>
  <sheetData>
    <row r="1" customFormat="false" ht="30" hidden="false" customHeight="true" outlineLevel="0" collapsed="false">
      <c r="A1" s="29" t="s">
        <v>2035</v>
      </c>
      <c r="B1" s="29"/>
      <c r="C1" s="29"/>
      <c r="D1" s="29"/>
      <c r="E1" s="29"/>
      <c r="F1" s="29"/>
      <c r="G1" s="29"/>
      <c r="H1" s="29"/>
    </row>
    <row r="2" customFormat="false" ht="21.75" hidden="false" customHeight="true" outlineLevel="0" collapsed="false">
      <c r="A2" s="30" t="s">
        <v>2036</v>
      </c>
      <c r="B2" s="30"/>
      <c r="C2" s="30"/>
      <c r="D2" s="30"/>
      <c r="E2" s="30"/>
      <c r="F2" s="30"/>
      <c r="G2" s="30"/>
      <c r="H2" s="30"/>
    </row>
    <row r="3" customFormat="false" ht="26.85" hidden="false" customHeight="false" outlineLevel="0" collapsed="false">
      <c r="A3" s="31" t="s">
        <v>2037</v>
      </c>
      <c r="B3" s="31" t="s">
        <v>2038</v>
      </c>
      <c r="C3" s="31" t="s">
        <v>2039</v>
      </c>
      <c r="D3" s="31" t="s">
        <v>2040</v>
      </c>
      <c r="E3" s="31" t="s">
        <v>8</v>
      </c>
      <c r="F3" s="31" t="s">
        <v>9</v>
      </c>
      <c r="G3" s="31" t="s">
        <v>76</v>
      </c>
      <c r="H3" s="31" t="s">
        <v>2041</v>
      </c>
    </row>
    <row r="4" customFormat="false" ht="21.75" hidden="false" customHeight="true" outlineLevel="0" collapsed="false">
      <c r="A4" s="32" t="s">
        <v>2042</v>
      </c>
      <c r="B4" s="32"/>
      <c r="C4" s="32"/>
      <c r="D4" s="32"/>
      <c r="E4" s="32"/>
      <c r="F4" s="32"/>
      <c r="G4" s="32"/>
      <c r="H4" s="32"/>
    </row>
    <row r="5" customFormat="false" ht="15" hidden="false" customHeight="false" outlineLevel="0" collapsed="false">
      <c r="A5" s="6" t="n">
        <v>1</v>
      </c>
      <c r="B5" s="22" t="s">
        <v>2043</v>
      </c>
      <c r="C5" s="6" t="n">
        <v>8</v>
      </c>
      <c r="D5" s="6" t="n">
        <v>0</v>
      </c>
      <c r="E5" s="7" t="n">
        <f aca="false">IF(C5=0,0,D5/C5)</f>
        <v>0</v>
      </c>
      <c r="F5" s="6" t="s">
        <v>16</v>
      </c>
      <c r="G5" s="6" t="s">
        <v>89</v>
      </c>
      <c r="H5" s="22" t="s">
        <v>95</v>
      </c>
    </row>
    <row r="6" customFormat="false" ht="15" hidden="false" customHeight="false" outlineLevel="0" collapsed="false">
      <c r="A6" s="11" t="n">
        <v>2</v>
      </c>
      <c r="B6" s="25" t="s">
        <v>2044</v>
      </c>
      <c r="C6" s="11" t="n">
        <v>7</v>
      </c>
      <c r="D6" s="11" t="n">
        <v>0</v>
      </c>
      <c r="E6" s="12" t="n">
        <f aca="false">IF(C6=0,0,D6/C6)</f>
        <v>0</v>
      </c>
      <c r="F6" s="11" t="s">
        <v>16</v>
      </c>
      <c r="G6" s="11" t="s">
        <v>89</v>
      </c>
      <c r="H6" s="25" t="s">
        <v>149</v>
      </c>
    </row>
    <row r="7" customFormat="false" ht="15" hidden="false" customHeight="false" outlineLevel="0" collapsed="false">
      <c r="A7" s="6" t="n">
        <v>3</v>
      </c>
      <c r="B7" s="22" t="s">
        <v>2045</v>
      </c>
      <c r="C7" s="6" t="n">
        <v>6</v>
      </c>
      <c r="D7" s="6" t="n">
        <v>0</v>
      </c>
      <c r="E7" s="7" t="n">
        <f aca="false">IF(C7=0,0,D7/C7)</f>
        <v>0</v>
      </c>
      <c r="F7" s="6" t="s">
        <v>16</v>
      </c>
      <c r="G7" s="6" t="s">
        <v>89</v>
      </c>
      <c r="H7" s="22" t="s">
        <v>196</v>
      </c>
    </row>
    <row r="8" customFormat="false" ht="15" hidden="false" customHeight="false" outlineLevel="0" collapsed="false">
      <c r="A8" s="11" t="n">
        <v>4</v>
      </c>
      <c r="B8" s="25" t="s">
        <v>2046</v>
      </c>
      <c r="C8" s="11" t="n">
        <v>6</v>
      </c>
      <c r="D8" s="11" t="n">
        <v>0</v>
      </c>
      <c r="E8" s="12" t="n">
        <f aca="false">IF(C8=0,0,D8/C8)</f>
        <v>0</v>
      </c>
      <c r="F8" s="11" t="s">
        <v>16</v>
      </c>
      <c r="G8" s="11" t="s">
        <v>89</v>
      </c>
      <c r="H8" s="25" t="s">
        <v>236</v>
      </c>
    </row>
    <row r="9" customFormat="false" ht="15" hidden="false" customHeight="false" outlineLevel="0" collapsed="false">
      <c r="A9" s="6" t="n">
        <v>5</v>
      </c>
      <c r="B9" s="22" t="s">
        <v>2047</v>
      </c>
      <c r="C9" s="6" t="n">
        <v>5</v>
      </c>
      <c r="D9" s="6" t="n">
        <v>0</v>
      </c>
      <c r="E9" s="7" t="n">
        <f aca="false">IF(C9=0,0,D9/C9)</f>
        <v>0</v>
      </c>
      <c r="F9" s="6" t="s">
        <v>16</v>
      </c>
      <c r="G9" s="6" t="s">
        <v>89</v>
      </c>
      <c r="H9" s="22" t="s">
        <v>276</v>
      </c>
    </row>
    <row r="10" customFormat="false" ht="15" hidden="false" customHeight="false" outlineLevel="0" collapsed="false">
      <c r="A10" s="11" t="n">
        <v>6</v>
      </c>
      <c r="B10" s="25" t="s">
        <v>2048</v>
      </c>
      <c r="C10" s="11" t="n">
        <v>5</v>
      </c>
      <c r="D10" s="11" t="n">
        <v>0</v>
      </c>
      <c r="E10" s="12" t="n">
        <f aca="false">IF(C10=0,0,D10/C10)</f>
        <v>0</v>
      </c>
      <c r="F10" s="11" t="s">
        <v>16</v>
      </c>
      <c r="G10" s="11" t="s">
        <v>89</v>
      </c>
      <c r="H10" s="25" t="s">
        <v>308</v>
      </c>
    </row>
    <row r="11" customFormat="false" ht="15" hidden="false" customHeight="false" outlineLevel="0" collapsed="false">
      <c r="A11" s="6" t="n">
        <v>7</v>
      </c>
      <c r="B11" s="22" t="s">
        <v>2049</v>
      </c>
      <c r="C11" s="6" t="n">
        <v>5</v>
      </c>
      <c r="D11" s="6" t="n">
        <v>0</v>
      </c>
      <c r="E11" s="7" t="n">
        <f aca="false">IF(C11=0,0,D11/C11)</f>
        <v>0</v>
      </c>
      <c r="F11" s="6" t="s">
        <v>16</v>
      </c>
      <c r="G11" s="6" t="s">
        <v>89</v>
      </c>
      <c r="H11" s="22" t="s">
        <v>342</v>
      </c>
    </row>
    <row r="12" customFormat="false" ht="21.75" hidden="false" customHeight="true" outlineLevel="0" collapsed="false">
      <c r="A12" s="32" t="s">
        <v>2050</v>
      </c>
      <c r="B12" s="32"/>
      <c r="C12" s="32"/>
      <c r="D12" s="32"/>
      <c r="E12" s="32"/>
      <c r="F12" s="32"/>
      <c r="G12" s="32"/>
      <c r="H12" s="32"/>
    </row>
    <row r="13" customFormat="false" ht="15" hidden="false" customHeight="false" outlineLevel="0" collapsed="false">
      <c r="A13" s="11" t="n">
        <v>8</v>
      </c>
      <c r="B13" s="25" t="s">
        <v>2051</v>
      </c>
      <c r="C13" s="11" t="n">
        <v>6</v>
      </c>
      <c r="D13" s="11" t="n">
        <v>0</v>
      </c>
      <c r="E13" s="12" t="n">
        <f aca="false">IF(C13=0,0,D13/C13)</f>
        <v>0</v>
      </c>
      <c r="F13" s="11" t="s">
        <v>16</v>
      </c>
      <c r="G13" s="11" t="s">
        <v>89</v>
      </c>
      <c r="H13" s="25" t="s">
        <v>375</v>
      </c>
    </row>
    <row r="14" customFormat="false" ht="15" hidden="false" customHeight="false" outlineLevel="0" collapsed="false">
      <c r="A14" s="6" t="n">
        <v>9</v>
      </c>
      <c r="B14" s="22" t="s">
        <v>2052</v>
      </c>
      <c r="C14" s="6" t="n">
        <v>6</v>
      </c>
      <c r="D14" s="6" t="n">
        <v>0</v>
      </c>
      <c r="E14" s="7" t="n">
        <f aca="false">IF(C14=0,0,D14/C14)</f>
        <v>0</v>
      </c>
      <c r="F14" s="6" t="s">
        <v>16</v>
      </c>
      <c r="G14" s="6" t="s">
        <v>89</v>
      </c>
      <c r="H14" s="22" t="s">
        <v>413</v>
      </c>
    </row>
    <row r="15" customFormat="false" ht="15" hidden="false" customHeight="false" outlineLevel="0" collapsed="false">
      <c r="A15" s="11" t="n">
        <v>10</v>
      </c>
      <c r="B15" s="25" t="s">
        <v>2053</v>
      </c>
      <c r="C15" s="11" t="n">
        <v>6</v>
      </c>
      <c r="D15" s="11" t="n">
        <v>0</v>
      </c>
      <c r="E15" s="12" t="n">
        <f aca="false">IF(C15=0,0,D15/C15)</f>
        <v>0</v>
      </c>
      <c r="F15" s="11" t="s">
        <v>16</v>
      </c>
      <c r="G15" s="11" t="s">
        <v>89</v>
      </c>
      <c r="H15" s="25" t="s">
        <v>453</v>
      </c>
    </row>
    <row r="16" customFormat="false" ht="15" hidden="false" customHeight="false" outlineLevel="0" collapsed="false">
      <c r="A16" s="6" t="n">
        <v>11</v>
      </c>
      <c r="B16" s="22" t="s">
        <v>2054</v>
      </c>
      <c r="C16" s="6" t="n">
        <v>5</v>
      </c>
      <c r="D16" s="6" t="n">
        <v>0</v>
      </c>
      <c r="E16" s="7" t="n">
        <f aca="false">IF(C16=0,0,D16/C16)</f>
        <v>0</v>
      </c>
      <c r="F16" s="6" t="s">
        <v>16</v>
      </c>
      <c r="G16" s="6" t="s">
        <v>89</v>
      </c>
      <c r="H16" s="22" t="s">
        <v>491</v>
      </c>
    </row>
    <row r="17" customFormat="false" ht="15" hidden="false" customHeight="false" outlineLevel="0" collapsed="false">
      <c r="A17" s="11" t="n">
        <v>12</v>
      </c>
      <c r="B17" s="25" t="s">
        <v>2055</v>
      </c>
      <c r="C17" s="11" t="n">
        <v>5</v>
      </c>
      <c r="D17" s="11" t="n">
        <v>0</v>
      </c>
      <c r="E17" s="12" t="n">
        <f aca="false">IF(C17=0,0,D17/C17)</f>
        <v>0</v>
      </c>
      <c r="F17" s="11" t="s">
        <v>16</v>
      </c>
      <c r="G17" s="11" t="s">
        <v>89</v>
      </c>
      <c r="H17" s="25" t="s">
        <v>524</v>
      </c>
    </row>
    <row r="18" customFormat="false" ht="21.75" hidden="false" customHeight="true" outlineLevel="0" collapsed="false">
      <c r="A18" s="32" t="s">
        <v>2056</v>
      </c>
      <c r="B18" s="32"/>
      <c r="C18" s="32"/>
      <c r="D18" s="32"/>
      <c r="E18" s="32"/>
      <c r="F18" s="32"/>
      <c r="G18" s="32"/>
      <c r="H18" s="32"/>
    </row>
    <row r="19" customFormat="false" ht="15" hidden="false" customHeight="false" outlineLevel="0" collapsed="false">
      <c r="A19" s="6" t="n">
        <v>13</v>
      </c>
      <c r="B19" s="22" t="s">
        <v>2057</v>
      </c>
      <c r="C19" s="6" t="n">
        <v>6</v>
      </c>
      <c r="D19" s="6" t="n">
        <v>0</v>
      </c>
      <c r="E19" s="7" t="n">
        <f aca="false">IF(C19=0,0,D19/C19)</f>
        <v>0</v>
      </c>
      <c r="F19" s="6" t="s">
        <v>16</v>
      </c>
      <c r="G19" s="6" t="s">
        <v>89</v>
      </c>
      <c r="H19" s="22" t="s">
        <v>558</v>
      </c>
    </row>
    <row r="20" customFormat="false" ht="15" hidden="false" customHeight="false" outlineLevel="0" collapsed="false">
      <c r="A20" s="11" t="n">
        <v>14</v>
      </c>
      <c r="B20" s="25" t="s">
        <v>2058</v>
      </c>
      <c r="C20" s="11" t="n">
        <v>6</v>
      </c>
      <c r="D20" s="11" t="n">
        <v>0</v>
      </c>
      <c r="E20" s="12" t="n">
        <f aca="false">IF(C20=0,0,D20/C20)</f>
        <v>0</v>
      </c>
      <c r="F20" s="11" t="s">
        <v>16</v>
      </c>
      <c r="G20" s="11" t="s">
        <v>89</v>
      </c>
      <c r="H20" s="25" t="s">
        <v>595</v>
      </c>
    </row>
    <row r="21" customFormat="false" ht="15" hidden="false" customHeight="false" outlineLevel="0" collapsed="false">
      <c r="A21" s="6" t="n">
        <v>15</v>
      </c>
      <c r="B21" s="22" t="s">
        <v>2059</v>
      </c>
      <c r="C21" s="6" t="n">
        <v>5</v>
      </c>
      <c r="D21" s="6" t="n">
        <v>0</v>
      </c>
      <c r="E21" s="7" t="n">
        <f aca="false">IF(C21=0,0,D21/C21)</f>
        <v>0</v>
      </c>
      <c r="F21" s="6" t="s">
        <v>16</v>
      </c>
      <c r="G21" s="6" t="s">
        <v>89</v>
      </c>
      <c r="H21" s="22" t="s">
        <v>635</v>
      </c>
    </row>
    <row r="22" customFormat="false" ht="15" hidden="false" customHeight="false" outlineLevel="0" collapsed="false">
      <c r="A22" s="11" t="n">
        <v>16</v>
      </c>
      <c r="B22" s="25" t="s">
        <v>2060</v>
      </c>
      <c r="C22" s="11" t="n">
        <v>5</v>
      </c>
      <c r="D22" s="11" t="n">
        <v>0</v>
      </c>
      <c r="E22" s="12" t="n">
        <f aca="false">IF(C22=0,0,D22/C22)</f>
        <v>0</v>
      </c>
      <c r="F22" s="11" t="s">
        <v>16</v>
      </c>
      <c r="G22" s="11" t="s">
        <v>89</v>
      </c>
      <c r="H22" s="25" t="s">
        <v>666</v>
      </c>
    </row>
    <row r="23" customFormat="false" ht="15" hidden="false" customHeight="false" outlineLevel="0" collapsed="false">
      <c r="A23" s="6" t="n">
        <v>17</v>
      </c>
      <c r="B23" s="22" t="s">
        <v>2061</v>
      </c>
      <c r="C23" s="6" t="n">
        <v>5</v>
      </c>
      <c r="D23" s="6" t="n">
        <v>0</v>
      </c>
      <c r="E23" s="7" t="n">
        <f aca="false">IF(C23=0,0,D23/C23)</f>
        <v>0</v>
      </c>
      <c r="F23" s="6" t="s">
        <v>16</v>
      </c>
      <c r="G23" s="6" t="s">
        <v>89</v>
      </c>
      <c r="H23" s="22" t="s">
        <v>699</v>
      </c>
    </row>
    <row r="24" customFormat="false" ht="21.75" hidden="false" customHeight="true" outlineLevel="0" collapsed="false">
      <c r="A24" s="32" t="s">
        <v>2062</v>
      </c>
      <c r="B24" s="32"/>
      <c r="C24" s="32"/>
      <c r="D24" s="32"/>
      <c r="E24" s="32"/>
      <c r="F24" s="32"/>
      <c r="G24" s="32"/>
      <c r="H24" s="32"/>
    </row>
    <row r="25" customFormat="false" ht="15" hidden="false" customHeight="false" outlineLevel="0" collapsed="false">
      <c r="A25" s="11" t="n">
        <v>18</v>
      </c>
      <c r="B25" s="25" t="s">
        <v>2063</v>
      </c>
      <c r="C25" s="11" t="n">
        <v>6</v>
      </c>
      <c r="D25" s="11" t="n">
        <v>0</v>
      </c>
      <c r="E25" s="12" t="n">
        <f aca="false">IF(C25=0,0,D25/C25)</f>
        <v>0</v>
      </c>
      <c r="F25" s="11" t="s">
        <v>16</v>
      </c>
      <c r="G25" s="11" t="s">
        <v>89</v>
      </c>
      <c r="H25" s="25" t="s">
        <v>733</v>
      </c>
    </row>
    <row r="26" customFormat="false" ht="15" hidden="false" customHeight="false" outlineLevel="0" collapsed="false">
      <c r="A26" s="6" t="n">
        <v>19</v>
      </c>
      <c r="B26" s="22" t="s">
        <v>2064</v>
      </c>
      <c r="C26" s="6" t="n">
        <v>6</v>
      </c>
      <c r="D26" s="6" t="n">
        <v>0</v>
      </c>
      <c r="E26" s="7" t="n">
        <f aca="false">IF(C26=0,0,D26/C26)</f>
        <v>0</v>
      </c>
      <c r="F26" s="6" t="s">
        <v>16</v>
      </c>
      <c r="G26" s="6" t="s">
        <v>89</v>
      </c>
      <c r="H26" s="22" t="s">
        <v>773</v>
      </c>
    </row>
    <row r="27" customFormat="false" ht="15" hidden="false" customHeight="false" outlineLevel="0" collapsed="false">
      <c r="A27" s="11" t="n">
        <v>20</v>
      </c>
      <c r="B27" s="25" t="s">
        <v>2065</v>
      </c>
      <c r="C27" s="11" t="n">
        <v>5</v>
      </c>
      <c r="D27" s="11" t="n">
        <v>0</v>
      </c>
      <c r="E27" s="12" t="n">
        <f aca="false">IF(C27=0,0,D27/C27)</f>
        <v>0</v>
      </c>
      <c r="F27" s="11" t="s">
        <v>16</v>
      </c>
      <c r="G27" s="11" t="s">
        <v>89</v>
      </c>
      <c r="H27" s="25" t="s">
        <v>810</v>
      </c>
    </row>
    <row r="28" customFormat="false" ht="15" hidden="false" customHeight="false" outlineLevel="0" collapsed="false">
      <c r="A28" s="6" t="n">
        <v>21</v>
      </c>
      <c r="B28" s="22" t="s">
        <v>2066</v>
      </c>
      <c r="C28" s="6" t="n">
        <v>5</v>
      </c>
      <c r="D28" s="6" t="n">
        <v>0</v>
      </c>
      <c r="E28" s="7" t="n">
        <f aca="false">IF(C28=0,0,D28/C28)</f>
        <v>0</v>
      </c>
      <c r="F28" s="6" t="s">
        <v>16</v>
      </c>
      <c r="G28" s="6" t="s">
        <v>89</v>
      </c>
      <c r="H28" s="22" t="s">
        <v>845</v>
      </c>
    </row>
    <row r="29" customFormat="false" ht="21.75" hidden="false" customHeight="true" outlineLevel="0" collapsed="false">
      <c r="A29" s="32" t="s">
        <v>2067</v>
      </c>
      <c r="B29" s="32"/>
      <c r="C29" s="32"/>
      <c r="D29" s="32"/>
      <c r="E29" s="32"/>
      <c r="F29" s="32"/>
      <c r="G29" s="32"/>
      <c r="H29" s="32"/>
    </row>
    <row r="30" customFormat="false" ht="15" hidden="false" customHeight="false" outlineLevel="0" collapsed="false">
      <c r="A30" s="11" t="n">
        <v>22</v>
      </c>
      <c r="B30" s="25" t="s">
        <v>2068</v>
      </c>
      <c r="C30" s="11" t="n">
        <v>7</v>
      </c>
      <c r="D30" s="11" t="n">
        <v>0</v>
      </c>
      <c r="E30" s="12" t="n">
        <f aca="false">IF(C30=0,0,D30/C30)</f>
        <v>0</v>
      </c>
      <c r="F30" s="11" t="s">
        <v>16</v>
      </c>
      <c r="G30" s="11" t="s">
        <v>89</v>
      </c>
      <c r="H30" s="25" t="s">
        <v>878</v>
      </c>
    </row>
    <row r="31" customFormat="false" ht="15" hidden="false" customHeight="false" outlineLevel="0" collapsed="false">
      <c r="A31" s="6" t="n">
        <v>23</v>
      </c>
      <c r="B31" s="22" t="s">
        <v>2069</v>
      </c>
      <c r="C31" s="6" t="n">
        <v>6</v>
      </c>
      <c r="D31" s="6" t="n">
        <v>0</v>
      </c>
      <c r="E31" s="7" t="n">
        <f aca="false">IF(C31=0,0,D31/C31)</f>
        <v>0</v>
      </c>
      <c r="F31" s="6" t="s">
        <v>16</v>
      </c>
      <c r="G31" s="6" t="s">
        <v>89</v>
      </c>
      <c r="H31" s="22" t="s">
        <v>922</v>
      </c>
    </row>
    <row r="32" customFormat="false" ht="15" hidden="false" customHeight="false" outlineLevel="0" collapsed="false">
      <c r="A32" s="11" t="n">
        <v>24</v>
      </c>
      <c r="B32" s="25" t="s">
        <v>2070</v>
      </c>
      <c r="C32" s="11" t="n">
        <v>5</v>
      </c>
      <c r="D32" s="11" t="n">
        <v>0</v>
      </c>
      <c r="E32" s="12" t="n">
        <f aca="false">IF(C32=0,0,D32/C32)</f>
        <v>0</v>
      </c>
      <c r="F32" s="11" t="s">
        <v>16</v>
      </c>
      <c r="G32" s="11" t="s">
        <v>89</v>
      </c>
      <c r="H32" s="25" t="s">
        <v>958</v>
      </c>
    </row>
    <row r="33" customFormat="false" ht="15" hidden="false" customHeight="false" outlineLevel="0" collapsed="false">
      <c r="A33" s="6" t="n">
        <v>25</v>
      </c>
      <c r="B33" s="22" t="s">
        <v>2071</v>
      </c>
      <c r="C33" s="6" t="n">
        <v>5</v>
      </c>
      <c r="D33" s="6" t="n">
        <v>0</v>
      </c>
      <c r="E33" s="7" t="n">
        <f aca="false">IF(C33=0,0,D33/C33)</f>
        <v>0</v>
      </c>
      <c r="F33" s="6" t="s">
        <v>16</v>
      </c>
      <c r="G33" s="6" t="s">
        <v>89</v>
      </c>
      <c r="H33" s="22" t="s">
        <v>990</v>
      </c>
    </row>
    <row r="34" customFormat="false" ht="15" hidden="false" customHeight="false" outlineLevel="0" collapsed="false">
      <c r="A34" s="11" t="n">
        <v>26</v>
      </c>
      <c r="B34" s="25" t="s">
        <v>2072</v>
      </c>
      <c r="C34" s="11" t="n">
        <v>5</v>
      </c>
      <c r="D34" s="11" t="n">
        <v>0</v>
      </c>
      <c r="E34" s="12" t="n">
        <f aca="false">IF(C34=0,0,D34/C34)</f>
        <v>0</v>
      </c>
      <c r="F34" s="11" t="s">
        <v>16</v>
      </c>
      <c r="G34" s="11" t="s">
        <v>89</v>
      </c>
      <c r="H34" s="25" t="s">
        <v>1024</v>
      </c>
    </row>
    <row r="35" customFormat="false" ht="21.75" hidden="false" customHeight="true" outlineLevel="0" collapsed="false">
      <c r="A35" s="32" t="s">
        <v>2073</v>
      </c>
      <c r="B35" s="32"/>
      <c r="C35" s="32"/>
      <c r="D35" s="32"/>
      <c r="E35" s="32"/>
      <c r="F35" s="32"/>
      <c r="G35" s="32"/>
      <c r="H35" s="32"/>
    </row>
    <row r="36" customFormat="false" ht="15" hidden="false" customHeight="false" outlineLevel="0" collapsed="false">
      <c r="A36" s="6" t="n">
        <v>27</v>
      </c>
      <c r="B36" s="22" t="s">
        <v>2074</v>
      </c>
      <c r="C36" s="6" t="n">
        <v>6</v>
      </c>
      <c r="D36" s="6" t="n">
        <v>0</v>
      </c>
      <c r="E36" s="7" t="n">
        <f aca="false">IF(C36=0,0,D36/C36)</f>
        <v>0</v>
      </c>
      <c r="F36" s="6" t="s">
        <v>16</v>
      </c>
      <c r="G36" s="6" t="s">
        <v>89</v>
      </c>
      <c r="H36" s="22" t="s">
        <v>1059</v>
      </c>
    </row>
    <row r="37" customFormat="false" ht="15" hidden="false" customHeight="false" outlineLevel="0" collapsed="false">
      <c r="A37" s="11" t="n">
        <v>28</v>
      </c>
      <c r="B37" s="25" t="s">
        <v>2075</v>
      </c>
      <c r="C37" s="11" t="n">
        <v>6</v>
      </c>
      <c r="D37" s="11" t="n">
        <v>0</v>
      </c>
      <c r="E37" s="12" t="n">
        <f aca="false">IF(C37=0,0,D37/C37)</f>
        <v>0</v>
      </c>
      <c r="F37" s="11" t="s">
        <v>16</v>
      </c>
      <c r="G37" s="11" t="s">
        <v>89</v>
      </c>
      <c r="H37" s="25" t="s">
        <v>1099</v>
      </c>
    </row>
    <row r="38" customFormat="false" ht="15" hidden="false" customHeight="false" outlineLevel="0" collapsed="false">
      <c r="A38" s="6" t="n">
        <v>29</v>
      </c>
      <c r="B38" s="22" t="s">
        <v>2076</v>
      </c>
      <c r="C38" s="6" t="n">
        <v>5</v>
      </c>
      <c r="D38" s="6" t="n">
        <v>0</v>
      </c>
      <c r="E38" s="7" t="n">
        <f aca="false">IF(C38=0,0,D38/C38)</f>
        <v>0</v>
      </c>
      <c r="F38" s="6" t="s">
        <v>16</v>
      </c>
      <c r="G38" s="6" t="s">
        <v>89</v>
      </c>
      <c r="H38" s="22" t="s">
        <v>1135</v>
      </c>
    </row>
    <row r="39" customFormat="false" ht="15" hidden="false" customHeight="false" outlineLevel="0" collapsed="false">
      <c r="A39" s="11" t="n">
        <v>30</v>
      </c>
      <c r="B39" s="25" t="s">
        <v>2077</v>
      </c>
      <c r="C39" s="11" t="n">
        <v>4</v>
      </c>
      <c r="D39" s="11" t="n">
        <v>0</v>
      </c>
      <c r="E39" s="12" t="n">
        <f aca="false">IF(C39=0,0,D39/C39)</f>
        <v>0</v>
      </c>
      <c r="F39" s="11" t="s">
        <v>16</v>
      </c>
      <c r="G39" s="11" t="s">
        <v>89</v>
      </c>
      <c r="H39" s="25" t="s">
        <v>1170</v>
      </c>
    </row>
    <row r="40" customFormat="false" ht="15" hidden="false" customHeight="false" outlineLevel="0" collapsed="false">
      <c r="A40" s="6" t="n">
        <v>31</v>
      </c>
      <c r="B40" s="22" t="s">
        <v>2078</v>
      </c>
      <c r="C40" s="6" t="n">
        <v>5</v>
      </c>
      <c r="D40" s="6" t="n">
        <v>0</v>
      </c>
      <c r="E40" s="7" t="n">
        <f aca="false">IF(C40=0,0,D40/C40)</f>
        <v>0</v>
      </c>
      <c r="F40" s="6" t="s">
        <v>16</v>
      </c>
      <c r="G40" s="6" t="s">
        <v>89</v>
      </c>
      <c r="H40" s="22" t="s">
        <v>1196</v>
      </c>
    </row>
    <row r="41" customFormat="false" ht="21.75" hidden="false" customHeight="true" outlineLevel="0" collapsed="false">
      <c r="A41" s="32" t="s">
        <v>2079</v>
      </c>
      <c r="B41" s="32"/>
      <c r="C41" s="32"/>
      <c r="D41" s="32"/>
      <c r="E41" s="32"/>
      <c r="F41" s="32"/>
      <c r="G41" s="32"/>
      <c r="H41" s="32"/>
    </row>
    <row r="42" customFormat="false" ht="15" hidden="false" customHeight="false" outlineLevel="0" collapsed="false">
      <c r="A42" s="11" t="n">
        <v>32</v>
      </c>
      <c r="B42" s="25" t="s">
        <v>2080</v>
      </c>
      <c r="C42" s="11" t="n">
        <v>5</v>
      </c>
      <c r="D42" s="11" t="n">
        <v>0</v>
      </c>
      <c r="E42" s="12" t="n">
        <f aca="false">IF(C42=0,0,D42/C42)</f>
        <v>0</v>
      </c>
      <c r="F42" s="11" t="s">
        <v>16</v>
      </c>
      <c r="G42" s="11" t="s">
        <v>89</v>
      </c>
      <c r="H42" s="25" t="s">
        <v>1232</v>
      </c>
    </row>
    <row r="43" customFormat="false" ht="15" hidden="false" customHeight="false" outlineLevel="0" collapsed="false">
      <c r="A43" s="6" t="n">
        <v>33</v>
      </c>
      <c r="B43" s="22" t="s">
        <v>2081</v>
      </c>
      <c r="C43" s="6" t="n">
        <v>5</v>
      </c>
      <c r="D43" s="6" t="n">
        <v>0</v>
      </c>
      <c r="E43" s="7" t="n">
        <f aca="false">IF(C43=0,0,D43/C43)</f>
        <v>0</v>
      </c>
      <c r="F43" s="6" t="s">
        <v>16</v>
      </c>
      <c r="G43" s="6" t="s">
        <v>89</v>
      </c>
      <c r="H43" s="22" t="s">
        <v>1263</v>
      </c>
    </row>
    <row r="44" customFormat="false" ht="15" hidden="false" customHeight="false" outlineLevel="0" collapsed="false">
      <c r="A44" s="11" t="n">
        <v>34</v>
      </c>
      <c r="B44" s="25" t="s">
        <v>2082</v>
      </c>
      <c r="C44" s="11" t="n">
        <v>5</v>
      </c>
      <c r="D44" s="11" t="n">
        <v>0</v>
      </c>
      <c r="E44" s="12" t="n">
        <f aca="false">IF(C44=0,0,D44/C44)</f>
        <v>0</v>
      </c>
      <c r="F44" s="11" t="s">
        <v>16</v>
      </c>
      <c r="G44" s="11" t="s">
        <v>89</v>
      </c>
      <c r="H44" s="25" t="s">
        <v>1296</v>
      </c>
    </row>
    <row r="45" customFormat="false" ht="15" hidden="false" customHeight="false" outlineLevel="0" collapsed="false">
      <c r="A45" s="6" t="n">
        <v>35</v>
      </c>
      <c r="B45" s="22" t="s">
        <v>2083</v>
      </c>
      <c r="C45" s="6" t="n">
        <v>5</v>
      </c>
      <c r="D45" s="6" t="n">
        <v>0</v>
      </c>
      <c r="E45" s="7" t="n">
        <f aca="false">IF(C45=0,0,D45/C45)</f>
        <v>0</v>
      </c>
      <c r="F45" s="6" t="s">
        <v>16</v>
      </c>
      <c r="G45" s="6" t="s">
        <v>89</v>
      </c>
      <c r="H45" s="22" t="s">
        <v>1330</v>
      </c>
    </row>
    <row r="46" customFormat="false" ht="15" hidden="false" customHeight="false" outlineLevel="0" collapsed="false">
      <c r="A46" s="11" t="n">
        <v>36</v>
      </c>
      <c r="B46" s="25" t="s">
        <v>2084</v>
      </c>
      <c r="C46" s="11" t="n">
        <v>5</v>
      </c>
      <c r="D46" s="11" t="n">
        <v>0</v>
      </c>
      <c r="E46" s="12" t="n">
        <f aca="false">IF(C46=0,0,D46/C46)</f>
        <v>0</v>
      </c>
      <c r="F46" s="11" t="s">
        <v>16</v>
      </c>
      <c r="G46" s="11" t="s">
        <v>89</v>
      </c>
      <c r="H46" s="25" t="s">
        <v>1365</v>
      </c>
    </row>
    <row r="47" customFormat="false" ht="21.75" hidden="false" customHeight="true" outlineLevel="0" collapsed="false">
      <c r="A47" s="32" t="s">
        <v>2085</v>
      </c>
      <c r="B47" s="32"/>
      <c r="C47" s="32"/>
      <c r="D47" s="32"/>
      <c r="E47" s="32"/>
      <c r="F47" s="32"/>
      <c r="G47" s="32"/>
      <c r="H47" s="32"/>
    </row>
    <row r="48" customFormat="false" ht="15" hidden="false" customHeight="false" outlineLevel="0" collapsed="false">
      <c r="A48" s="6" t="n">
        <v>37</v>
      </c>
      <c r="B48" s="22" t="s">
        <v>2086</v>
      </c>
      <c r="C48" s="6" t="n">
        <v>5</v>
      </c>
      <c r="D48" s="6" t="n">
        <v>0</v>
      </c>
      <c r="E48" s="7" t="n">
        <f aca="false">IF(C48=0,0,D48/C48)</f>
        <v>0</v>
      </c>
      <c r="F48" s="6" t="s">
        <v>16</v>
      </c>
      <c r="G48" s="6" t="s">
        <v>89</v>
      </c>
      <c r="H48" s="22" t="s">
        <v>1399</v>
      </c>
    </row>
    <row r="49" customFormat="false" ht="15" hidden="false" customHeight="false" outlineLevel="0" collapsed="false">
      <c r="A49" s="11" t="n">
        <v>38</v>
      </c>
      <c r="B49" s="25" t="s">
        <v>2087</v>
      </c>
      <c r="C49" s="11" t="n">
        <v>5</v>
      </c>
      <c r="D49" s="11" t="n">
        <v>0</v>
      </c>
      <c r="E49" s="12" t="n">
        <f aca="false">IF(C49=0,0,D49/C49)</f>
        <v>0</v>
      </c>
      <c r="F49" s="11" t="s">
        <v>16</v>
      </c>
      <c r="G49" s="11" t="s">
        <v>89</v>
      </c>
      <c r="H49" s="25" t="s">
        <v>1429</v>
      </c>
    </row>
    <row r="50" customFormat="false" ht="15" hidden="false" customHeight="false" outlineLevel="0" collapsed="false">
      <c r="A50" s="6" t="n">
        <v>39</v>
      </c>
      <c r="B50" s="22" t="s">
        <v>2088</v>
      </c>
      <c r="C50" s="6" t="n">
        <v>4</v>
      </c>
      <c r="D50" s="6" t="n">
        <v>0</v>
      </c>
      <c r="E50" s="7" t="n">
        <f aca="false">IF(C50=0,0,D50/C50)</f>
        <v>0</v>
      </c>
      <c r="F50" s="6" t="s">
        <v>16</v>
      </c>
      <c r="G50" s="6" t="s">
        <v>89</v>
      </c>
      <c r="H50" s="22" t="s">
        <v>1457</v>
      </c>
    </row>
    <row r="51" customFormat="false" ht="15" hidden="false" customHeight="false" outlineLevel="0" collapsed="false">
      <c r="A51" s="11" t="n">
        <v>40</v>
      </c>
      <c r="B51" s="25" t="s">
        <v>2089</v>
      </c>
      <c r="C51" s="11" t="n">
        <v>4</v>
      </c>
      <c r="D51" s="11" t="n">
        <v>0</v>
      </c>
      <c r="E51" s="12" t="n">
        <f aca="false">IF(C51=0,0,D51/C51)</f>
        <v>0</v>
      </c>
      <c r="F51" s="11" t="s">
        <v>16</v>
      </c>
      <c r="G51" s="11" t="s">
        <v>89</v>
      </c>
      <c r="H51" s="25" t="s">
        <v>836</v>
      </c>
    </row>
    <row r="52" customFormat="false" ht="21.75" hidden="false" customHeight="true" outlineLevel="0" collapsed="false">
      <c r="A52" s="32" t="s">
        <v>2090</v>
      </c>
      <c r="B52" s="32"/>
      <c r="C52" s="32"/>
      <c r="D52" s="32"/>
      <c r="E52" s="32"/>
      <c r="F52" s="32"/>
      <c r="G52" s="32"/>
      <c r="H52" s="32"/>
    </row>
    <row r="53" customFormat="false" ht="15" hidden="false" customHeight="false" outlineLevel="0" collapsed="false">
      <c r="A53" s="6" t="n">
        <v>41</v>
      </c>
      <c r="B53" s="22" t="s">
        <v>2091</v>
      </c>
      <c r="C53" s="6" t="n">
        <v>4</v>
      </c>
      <c r="D53" s="6" t="n">
        <v>0</v>
      </c>
      <c r="E53" s="7" t="n">
        <f aca="false">IF(C53=0,0,D53/C53)</f>
        <v>0</v>
      </c>
      <c r="F53" s="6" t="s">
        <v>16</v>
      </c>
      <c r="G53" s="6" t="s">
        <v>89</v>
      </c>
      <c r="H53" s="22" t="s">
        <v>1510</v>
      </c>
    </row>
    <row r="54" customFormat="false" ht="15" hidden="false" customHeight="false" outlineLevel="0" collapsed="false">
      <c r="A54" s="11" t="n">
        <v>42</v>
      </c>
      <c r="B54" s="25" t="s">
        <v>2092</v>
      </c>
      <c r="C54" s="11" t="n">
        <v>4</v>
      </c>
      <c r="D54" s="11" t="n">
        <v>0</v>
      </c>
      <c r="E54" s="12" t="n">
        <f aca="false">IF(C54=0,0,D54/C54)</f>
        <v>0</v>
      </c>
      <c r="F54" s="11" t="s">
        <v>16</v>
      </c>
      <c r="G54" s="11" t="s">
        <v>89</v>
      </c>
      <c r="H54" s="25" t="s">
        <v>1535</v>
      </c>
    </row>
    <row r="55" customFormat="false" ht="15" hidden="false" customHeight="false" outlineLevel="0" collapsed="false">
      <c r="A55" s="6" t="n">
        <v>43</v>
      </c>
      <c r="B55" s="22" t="s">
        <v>2093</v>
      </c>
      <c r="C55" s="6" t="n">
        <v>4</v>
      </c>
      <c r="D55" s="6" t="n">
        <v>0</v>
      </c>
      <c r="E55" s="7" t="n">
        <f aca="false">IF(C55=0,0,D55/C55)</f>
        <v>0</v>
      </c>
      <c r="F55" s="6" t="s">
        <v>16</v>
      </c>
      <c r="G55" s="6" t="s">
        <v>89</v>
      </c>
      <c r="H55" s="22" t="s">
        <v>1561</v>
      </c>
    </row>
    <row r="56" customFormat="false" ht="15" hidden="false" customHeight="false" outlineLevel="0" collapsed="false">
      <c r="A56" s="11" t="n">
        <v>44</v>
      </c>
      <c r="B56" s="25" t="s">
        <v>2094</v>
      </c>
      <c r="C56" s="11" t="n">
        <v>4</v>
      </c>
      <c r="D56" s="11" t="n">
        <v>0</v>
      </c>
      <c r="E56" s="12" t="n">
        <f aca="false">IF(C56=0,0,D56/C56)</f>
        <v>0</v>
      </c>
      <c r="F56" s="11" t="s">
        <v>16</v>
      </c>
      <c r="G56" s="11" t="s">
        <v>89</v>
      </c>
      <c r="H56" s="25" t="s">
        <v>268</v>
      </c>
    </row>
    <row r="57" customFormat="false" ht="21.75" hidden="false" customHeight="true" outlineLevel="0" collapsed="false">
      <c r="A57" s="32" t="s">
        <v>2095</v>
      </c>
      <c r="B57" s="32"/>
      <c r="C57" s="32"/>
      <c r="D57" s="32"/>
      <c r="E57" s="32"/>
      <c r="F57" s="32"/>
      <c r="G57" s="32"/>
      <c r="H57" s="32"/>
    </row>
    <row r="58" customFormat="false" ht="15" hidden="false" customHeight="false" outlineLevel="0" collapsed="false">
      <c r="A58" s="6" t="n">
        <v>45</v>
      </c>
      <c r="B58" s="22" t="s">
        <v>2096</v>
      </c>
      <c r="C58" s="6" t="n">
        <v>5</v>
      </c>
      <c r="D58" s="6" t="n">
        <v>0</v>
      </c>
      <c r="E58" s="7" t="n">
        <f aca="false">IF(C58=0,0,D58/C58)</f>
        <v>0</v>
      </c>
      <c r="F58" s="6" t="s">
        <v>16</v>
      </c>
      <c r="G58" s="6" t="s">
        <v>89</v>
      </c>
      <c r="H58" s="22" t="s">
        <v>1614</v>
      </c>
    </row>
    <row r="59" customFormat="false" ht="15" hidden="false" customHeight="false" outlineLevel="0" collapsed="false">
      <c r="A59" s="11" t="n">
        <v>46</v>
      </c>
      <c r="B59" s="25" t="s">
        <v>2097</v>
      </c>
      <c r="C59" s="11" t="n">
        <v>4</v>
      </c>
      <c r="D59" s="11" t="n">
        <v>0</v>
      </c>
      <c r="E59" s="12" t="n">
        <f aca="false">IF(C59=0,0,D59/C59)</f>
        <v>0</v>
      </c>
      <c r="F59" s="11" t="s">
        <v>16</v>
      </c>
      <c r="G59" s="11" t="s">
        <v>89</v>
      </c>
      <c r="H59" s="25" t="s">
        <v>1646</v>
      </c>
    </row>
    <row r="60" customFormat="false" ht="15" hidden="false" customHeight="false" outlineLevel="0" collapsed="false">
      <c r="A60" s="6" t="n">
        <v>47</v>
      </c>
      <c r="B60" s="22" t="s">
        <v>2098</v>
      </c>
      <c r="C60" s="6" t="n">
        <v>5</v>
      </c>
      <c r="D60" s="6" t="n">
        <v>0</v>
      </c>
      <c r="E60" s="7" t="n">
        <f aca="false">IF(C60=0,0,D60/C60)</f>
        <v>0</v>
      </c>
      <c r="F60" s="6" t="s">
        <v>16</v>
      </c>
      <c r="G60" s="6" t="s">
        <v>89</v>
      </c>
      <c r="H60" s="22" t="s">
        <v>1196</v>
      </c>
    </row>
    <row r="61" customFormat="false" ht="23.85" hidden="false" customHeight="false" outlineLevel="0" collapsed="false">
      <c r="A61" s="11" t="n">
        <v>48</v>
      </c>
      <c r="B61" s="25" t="s">
        <v>2099</v>
      </c>
      <c r="C61" s="11" t="n">
        <v>4</v>
      </c>
      <c r="D61" s="11" t="n">
        <v>0</v>
      </c>
      <c r="E61" s="12" t="n">
        <f aca="false">IF(C61=0,0,D61/C61)</f>
        <v>0</v>
      </c>
      <c r="F61" s="11" t="s">
        <v>16</v>
      </c>
      <c r="G61" s="11" t="s">
        <v>89</v>
      </c>
      <c r="H61" s="25" t="s">
        <v>1703</v>
      </c>
    </row>
    <row r="62" customFormat="false" ht="21.75" hidden="false" customHeight="true" outlineLevel="0" collapsed="false">
      <c r="A62" s="32" t="s">
        <v>2100</v>
      </c>
      <c r="B62" s="32"/>
      <c r="C62" s="32"/>
      <c r="D62" s="32"/>
      <c r="E62" s="32"/>
      <c r="F62" s="32"/>
      <c r="G62" s="32"/>
      <c r="H62" s="32"/>
    </row>
    <row r="63" customFormat="false" ht="15" hidden="false" customHeight="false" outlineLevel="0" collapsed="false">
      <c r="A63" s="6" t="n">
        <v>49</v>
      </c>
      <c r="B63" s="22" t="s">
        <v>2101</v>
      </c>
      <c r="C63" s="6" t="n">
        <v>4</v>
      </c>
      <c r="D63" s="6" t="n">
        <v>0</v>
      </c>
      <c r="E63" s="7" t="n">
        <f aca="false">IF(C63=0,0,D63/C63)</f>
        <v>0</v>
      </c>
      <c r="F63" s="6" t="s">
        <v>16</v>
      </c>
      <c r="G63" s="6" t="s">
        <v>89</v>
      </c>
      <c r="H63" s="22" t="s">
        <v>1731</v>
      </c>
    </row>
    <row r="64" customFormat="false" ht="15" hidden="false" customHeight="false" outlineLevel="0" collapsed="false">
      <c r="A64" s="11" t="n">
        <v>50</v>
      </c>
      <c r="B64" s="25" t="s">
        <v>2102</v>
      </c>
      <c r="C64" s="11" t="n">
        <v>4</v>
      </c>
      <c r="D64" s="11" t="n">
        <v>0</v>
      </c>
      <c r="E64" s="12" t="n">
        <f aca="false">IF(C64=0,0,D64/C64)</f>
        <v>0</v>
      </c>
      <c r="F64" s="11" t="s">
        <v>16</v>
      </c>
      <c r="G64" s="11" t="s">
        <v>89</v>
      </c>
      <c r="H64" s="25" t="s">
        <v>1756</v>
      </c>
    </row>
    <row r="65" customFormat="false" ht="15" hidden="false" customHeight="false" outlineLevel="0" collapsed="false">
      <c r="A65" s="6" t="n">
        <v>51</v>
      </c>
      <c r="B65" s="22" t="s">
        <v>2103</v>
      </c>
      <c r="C65" s="6" t="n">
        <v>4</v>
      </c>
      <c r="D65" s="6" t="n">
        <v>0</v>
      </c>
      <c r="E65" s="7" t="n">
        <f aca="false">IF(C65=0,0,D65/C65)</f>
        <v>0</v>
      </c>
      <c r="F65" s="6" t="s">
        <v>16</v>
      </c>
      <c r="G65" s="6" t="s">
        <v>89</v>
      </c>
      <c r="H65" s="22" t="s">
        <v>1781</v>
      </c>
    </row>
    <row r="66" customFormat="false" ht="15" hidden="false" customHeight="false" outlineLevel="0" collapsed="false">
      <c r="A66" s="11" t="n">
        <v>52</v>
      </c>
      <c r="B66" s="25" t="s">
        <v>2104</v>
      </c>
      <c r="C66" s="11" t="n">
        <v>4</v>
      </c>
      <c r="D66" s="11" t="n">
        <v>0</v>
      </c>
      <c r="E66" s="12" t="n">
        <f aca="false">IF(C66=0,0,D66/C66)</f>
        <v>0</v>
      </c>
      <c r="F66" s="11" t="s">
        <v>16</v>
      </c>
      <c r="G66" s="11" t="s">
        <v>89</v>
      </c>
      <c r="H66" s="25" t="s">
        <v>1806</v>
      </c>
    </row>
    <row r="67" customFormat="false" ht="21.75" hidden="false" customHeight="true" outlineLevel="0" collapsed="false">
      <c r="A67" s="32" t="s">
        <v>2105</v>
      </c>
      <c r="B67" s="32"/>
      <c r="C67" s="32"/>
      <c r="D67" s="32"/>
      <c r="E67" s="32"/>
      <c r="F67" s="32"/>
      <c r="G67" s="32"/>
      <c r="H67" s="32"/>
    </row>
    <row r="68" customFormat="false" ht="15" hidden="false" customHeight="false" outlineLevel="0" collapsed="false">
      <c r="A68" s="6" t="n">
        <v>53</v>
      </c>
      <c r="B68" s="22" t="s">
        <v>2106</v>
      </c>
      <c r="C68" s="6" t="n">
        <v>5</v>
      </c>
      <c r="D68" s="6" t="n">
        <v>0</v>
      </c>
      <c r="E68" s="7" t="n">
        <f aca="false">IF(C68=0,0,D68/C68)</f>
        <v>0</v>
      </c>
      <c r="F68" s="6" t="s">
        <v>16</v>
      </c>
      <c r="G68" s="6" t="s">
        <v>89</v>
      </c>
      <c r="H68" s="22" t="s">
        <v>1834</v>
      </c>
    </row>
    <row r="69" customFormat="false" ht="15" hidden="false" customHeight="false" outlineLevel="0" collapsed="false">
      <c r="A69" s="11" t="n">
        <v>54</v>
      </c>
      <c r="B69" s="25" t="s">
        <v>2107</v>
      </c>
      <c r="C69" s="11" t="n">
        <v>5</v>
      </c>
      <c r="D69" s="11" t="n">
        <v>0</v>
      </c>
      <c r="E69" s="12" t="n">
        <f aca="false">IF(C69=0,0,D69/C69)</f>
        <v>0</v>
      </c>
      <c r="F69" s="11" t="s">
        <v>16</v>
      </c>
      <c r="G69" s="11" t="s">
        <v>89</v>
      </c>
      <c r="H69" s="25" t="s">
        <v>1871</v>
      </c>
    </row>
    <row r="70" customFormat="false" ht="15" hidden="false" customHeight="false" outlineLevel="0" collapsed="false">
      <c r="A70" s="6" t="n">
        <v>55</v>
      </c>
      <c r="B70" s="22" t="s">
        <v>2108</v>
      </c>
      <c r="C70" s="6" t="n">
        <v>4</v>
      </c>
      <c r="D70" s="6" t="n">
        <v>0</v>
      </c>
      <c r="E70" s="7" t="n">
        <f aca="false">IF(C70=0,0,D70/C70)</f>
        <v>0</v>
      </c>
      <c r="F70" s="6" t="s">
        <v>16</v>
      </c>
      <c r="G70" s="6" t="s">
        <v>89</v>
      </c>
      <c r="H70" s="22" t="s">
        <v>1905</v>
      </c>
    </row>
    <row r="71" customFormat="false" ht="15" hidden="false" customHeight="false" outlineLevel="0" collapsed="false">
      <c r="A71" s="11" t="n">
        <v>56</v>
      </c>
      <c r="B71" s="25" t="s">
        <v>2109</v>
      </c>
      <c r="C71" s="11" t="n">
        <v>4</v>
      </c>
      <c r="D71" s="11" t="n">
        <v>0</v>
      </c>
      <c r="E71" s="12" t="n">
        <f aca="false">IF(C71=0,0,D71/C71)</f>
        <v>0</v>
      </c>
      <c r="F71" s="11" t="s">
        <v>16</v>
      </c>
      <c r="G71" s="11" t="s">
        <v>89</v>
      </c>
      <c r="H71" s="25" t="s">
        <v>1930</v>
      </c>
    </row>
    <row r="72" customFormat="false" ht="21.75" hidden="false" customHeight="true" outlineLevel="0" collapsed="false">
      <c r="A72" s="32" t="s">
        <v>2110</v>
      </c>
      <c r="B72" s="32"/>
      <c r="C72" s="32"/>
      <c r="D72" s="32"/>
      <c r="E72" s="32"/>
      <c r="F72" s="32"/>
      <c r="G72" s="32"/>
      <c r="H72" s="32"/>
    </row>
    <row r="73" customFormat="false" ht="23.85" hidden="false" customHeight="false" outlineLevel="0" collapsed="false">
      <c r="A73" s="6" t="n">
        <v>57</v>
      </c>
      <c r="B73" s="22" t="s">
        <v>2111</v>
      </c>
      <c r="C73" s="6" t="n">
        <v>4</v>
      </c>
      <c r="D73" s="6" t="n">
        <v>0</v>
      </c>
      <c r="E73" s="7" t="n">
        <f aca="false">IF(C73=0,0,D73/C73)</f>
        <v>0</v>
      </c>
      <c r="F73" s="6" t="s">
        <v>16</v>
      </c>
      <c r="G73" s="6" t="s">
        <v>89</v>
      </c>
      <c r="H73" s="22" t="s">
        <v>1958</v>
      </c>
    </row>
    <row r="74" customFormat="false" ht="23.85" hidden="false" customHeight="false" outlineLevel="0" collapsed="false">
      <c r="A74" s="11" t="n">
        <v>58</v>
      </c>
      <c r="B74" s="25" t="s">
        <v>2112</v>
      </c>
      <c r="C74" s="11" t="n">
        <v>4</v>
      </c>
      <c r="D74" s="11" t="n">
        <v>0</v>
      </c>
      <c r="E74" s="12" t="n">
        <f aca="false">IF(C74=0,0,D74/C74)</f>
        <v>0</v>
      </c>
      <c r="F74" s="11" t="s">
        <v>16</v>
      </c>
      <c r="G74" s="11" t="s">
        <v>89</v>
      </c>
      <c r="H74" s="25" t="s">
        <v>1986</v>
      </c>
    </row>
    <row r="75" customFormat="false" ht="15" hidden="false" customHeight="false" outlineLevel="0" collapsed="false">
      <c r="A75" s="6" t="n">
        <v>59</v>
      </c>
      <c r="B75" s="22" t="s">
        <v>2113</v>
      </c>
      <c r="C75" s="6" t="n">
        <v>4</v>
      </c>
      <c r="D75" s="6" t="n">
        <v>0</v>
      </c>
      <c r="E75" s="7" t="n">
        <f aca="false">IF(C75=0,0,D75/C75)</f>
        <v>0</v>
      </c>
      <c r="F75" s="6" t="s">
        <v>16</v>
      </c>
      <c r="G75" s="6" t="s">
        <v>89</v>
      </c>
      <c r="H75" s="22" t="s">
        <v>2015</v>
      </c>
    </row>
    <row r="76" customFormat="false" ht="15" hidden="false" customHeight="true" outlineLevel="0" collapsed="false">
      <c r="A76" s="33" t="s">
        <v>2114</v>
      </c>
      <c r="B76" s="33"/>
      <c r="C76" s="34" t="n">
        <f aca="false">SUM(C4:C75)</f>
        <v>296</v>
      </c>
      <c r="D76" s="34" t="n">
        <f aca="false">SUM(D4:D75)</f>
        <v>0</v>
      </c>
      <c r="E76" s="35" t="n">
        <f aca="false">IF(C76=0,0,D76/C76)</f>
        <v>0</v>
      </c>
      <c r="F76" s="34"/>
      <c r="G76" s="34"/>
      <c r="H76" s="34"/>
    </row>
  </sheetData>
  <mergeCells count="16">
    <mergeCell ref="A1:H1"/>
    <mergeCell ref="A2:H2"/>
    <mergeCell ref="A4:H4"/>
    <mergeCell ref="A12:H12"/>
    <mergeCell ref="A18:H18"/>
    <mergeCell ref="A24:H24"/>
    <mergeCell ref="A29:H29"/>
    <mergeCell ref="A35:H35"/>
    <mergeCell ref="A41:H41"/>
    <mergeCell ref="A47:H47"/>
    <mergeCell ref="A52:H52"/>
    <mergeCell ref="A57:H57"/>
    <mergeCell ref="A62:H62"/>
    <mergeCell ref="A67:H67"/>
    <mergeCell ref="A72:H72"/>
    <mergeCell ref="A76:B7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2026-03-17T08:35:39Z</dcterms:created>
  <dc:creator>openpyxl</dc:creator>
  <dc:description/>
  <dc:language>en-US</dc:language>
  <cp:lastModifiedBy/>
  <dcterms:modified xsi:type="dcterms:W3CDTF">2026-03-17T08:35:39Z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